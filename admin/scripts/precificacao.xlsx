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s\pixelpop\pp-files\admin\scripts\"/>
    </mc:Choice>
  </mc:AlternateContent>
  <xr:revisionPtr revIDLastSave="0" documentId="13_ncr:1_{DF6DE423-0823-4ECA-916D-FDB2BD4A6611}" xr6:coauthVersionLast="47" xr6:coauthVersionMax="47" xr10:uidLastSave="{00000000-0000-0000-0000-000000000000}"/>
  <bookViews>
    <workbookView xWindow="-120" yWindow="-120" windowWidth="29040" windowHeight="15720" xr2:uid="{F0D32456-59FB-41BF-838C-EF51B45CB30D}"/>
  </bookViews>
  <sheets>
    <sheet name="Precificacao" sheetId="1" r:id="rId1"/>
  </sheets>
  <externalReferences>
    <externalReference r:id="rId2"/>
  </externalReferences>
  <definedNames>
    <definedName name="hernan">#REF!</definedName>
    <definedName name="kmlitro">#REF!</definedName>
    <definedName name="valoralcoo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30" i="1"/>
  <c r="E24" i="1"/>
  <c r="E23" i="1"/>
  <c r="E22" i="1"/>
  <c r="E21" i="1"/>
  <c r="E20" i="1"/>
  <c r="E19" i="1"/>
  <c r="E18" i="1"/>
  <c r="B15" i="1"/>
  <c r="D15" i="1" s="1"/>
  <c r="C9" i="1"/>
  <c r="D9" i="1" s="1"/>
  <c r="Q6" i="1"/>
  <c r="Q7" i="1" s="1"/>
  <c r="Q11" i="1" s="1"/>
  <c r="B27" i="1" s="1"/>
  <c r="C27" i="1" s="1"/>
  <c r="H3" i="1" l="1"/>
  <c r="H5" i="1" s="1"/>
  <c r="H6" i="1" l="1"/>
  <c r="I13" i="1" s="1"/>
  <c r="I14" i="1" l="1"/>
  <c r="M13" i="1"/>
  <c r="M14" i="1" l="1"/>
  <c r="I15" i="1"/>
  <c r="H14" i="1"/>
  <c r="M15" i="1" l="1"/>
  <c r="L14" i="1"/>
  <c r="H15" i="1"/>
  <c r="I17" i="1"/>
  <c r="L15" i="1" l="1"/>
  <c r="M17" i="1"/>
</calcChain>
</file>

<file path=xl/sharedStrings.xml><?xml version="1.0" encoding="utf-8"?>
<sst xmlns="http://schemas.openxmlformats.org/spreadsheetml/2006/main" count="65" uniqueCount="62">
  <si>
    <t>STL</t>
  </si>
  <si>
    <t>HR</t>
  </si>
  <si>
    <t>MIN</t>
  </si>
  <si>
    <t>PESO (gramas)</t>
  </si>
  <si>
    <t>CUSTO PRODUÇÃO</t>
  </si>
  <si>
    <t>Custo Fixo Mensal</t>
  </si>
  <si>
    <t>Objeto</t>
  </si>
  <si>
    <t>UNIDADES POR IMPRESSÃO</t>
  </si>
  <si>
    <t>Dias no mês</t>
  </si>
  <si>
    <t>CUSTO Unitario</t>
  </si>
  <si>
    <t>Horas no dia</t>
  </si>
  <si>
    <t>MARKUP</t>
  </si>
  <si>
    <t>Total de Horas/Mês</t>
  </si>
  <si>
    <t>CUSTOS</t>
  </si>
  <si>
    <t>Custo fixo por hora</t>
  </si>
  <si>
    <t>Matéria Prima</t>
  </si>
  <si>
    <t>Custo/kg</t>
  </si>
  <si>
    <t>Custo</t>
  </si>
  <si>
    <t>IMPOSTO</t>
  </si>
  <si>
    <t>O imposto já esta incluido</t>
  </si>
  <si>
    <t>PLA/PTEG</t>
  </si>
  <si>
    <t>Tx CARTÃO</t>
  </si>
  <si>
    <t>Não tenho taxa de cartão por enquanto</t>
  </si>
  <si>
    <t>% Uso Impressora</t>
  </si>
  <si>
    <t>CUSTO DE ANÚNCIO</t>
  </si>
  <si>
    <t>Não tenho custo de anúncio (colocar o custo da loja virtual?)</t>
  </si>
  <si>
    <t>Impressora</t>
  </si>
  <si>
    <t>Potência W</t>
  </si>
  <si>
    <t>Custo fixo por hora Impressora</t>
  </si>
  <si>
    <t>A1 Combo</t>
  </si>
  <si>
    <t>PRECIFICAÇÃO</t>
  </si>
  <si>
    <t>PREÇO CONSUMIDOR FINAL</t>
  </si>
  <si>
    <t>PREÇO LOJISTA</t>
  </si>
  <si>
    <t>Gasto Energético Kw</t>
  </si>
  <si>
    <t>Custo Kw/h</t>
  </si>
  <si>
    <t xml:space="preserve">Custo </t>
  </si>
  <si>
    <t>LUCRO PADRÃO (- IMPOSTO)</t>
  </si>
  <si>
    <t>LUCRO BRUTO</t>
  </si>
  <si>
    <t>LUCRO LIQUIDO</t>
  </si>
  <si>
    <t>Acessórios e Embalagens</t>
  </si>
  <si>
    <t>Quantidade</t>
  </si>
  <si>
    <t>Custo un</t>
  </si>
  <si>
    <t>Custo Total</t>
  </si>
  <si>
    <t>CUSTO FINAL TOTAL</t>
  </si>
  <si>
    <t>Argola</t>
  </si>
  <si>
    <t>Sacola</t>
  </si>
  <si>
    <t>Porca 1/4</t>
  </si>
  <si>
    <t>Porca 5/32</t>
  </si>
  <si>
    <t>Porca 5/16</t>
  </si>
  <si>
    <t>Parafuso</t>
  </si>
  <si>
    <t>NFC</t>
  </si>
  <si>
    <t>Custo Fixo (por hora)</t>
  </si>
  <si>
    <t>Custo Fixo Médio Total: R$ 5.200,00 (mensal) - O trabalho de impressão representa 20% de todo meu custo total hoje, já que os outros 80% eu uso para outras atividades e a parte pessoal - Dividido por 720h/mês</t>
  </si>
  <si>
    <t>Média (após força total): R$ 5,85</t>
  </si>
  <si>
    <t>Imposto (por hora)</t>
  </si>
  <si>
    <t>Total</t>
  </si>
  <si>
    <t>R$ 81,90 dividido por 720h no mês</t>
  </si>
  <si>
    <t>Vida útil / horas</t>
  </si>
  <si>
    <t>Valor da máquina</t>
  </si>
  <si>
    <t>Amortização</t>
  </si>
  <si>
    <t>8 anos, 260 dias, 12 horas por dia</t>
  </si>
  <si>
    <t>% DE FALHAS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</si>
</sst>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[$R$ -416]#,##0.00"/>
    <numFmt numFmtId="166" formatCode="0.0000"/>
    <numFmt numFmtId="167" formatCode="&quot;R$&quot;\ #,##0.00;[Red]&quot;R$&quot;\ #,##0.00"/>
  </numFmts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/>
    <xf numFmtId="0" fontId="2" fillId="0" borderId="0" xfId="1" applyFont="1"/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164" fontId="2" fillId="0" borderId="5" xfId="1" applyNumberFormat="1" applyFont="1" applyBorder="1" applyAlignment="1">
      <alignment horizontal="center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4" fontId="4" fillId="0" borderId="9" xfId="1" applyNumberFormat="1" applyFont="1" applyBorder="1" applyAlignment="1">
      <alignment horizontal="left"/>
    </xf>
    <xf numFmtId="0" fontId="4" fillId="0" borderId="0" xfId="1" applyFont="1" applyAlignment="1">
      <alignment horizontal="left"/>
    </xf>
    <xf numFmtId="0" fontId="2" fillId="0" borderId="5" xfId="1" applyFont="1" applyBorder="1" applyAlignment="1">
      <alignment horizontal="center"/>
    </xf>
    <xf numFmtId="0" fontId="4" fillId="0" borderId="0" xfId="1" applyFont="1"/>
    <xf numFmtId="0" fontId="2" fillId="0" borderId="4" xfId="1" applyFont="1" applyBorder="1"/>
    <xf numFmtId="165" fontId="2" fillId="0" borderId="5" xfId="1" applyNumberFormat="1" applyFont="1" applyBorder="1" applyAlignment="1">
      <alignment horizontal="center"/>
    </xf>
    <xf numFmtId="166" fontId="2" fillId="0" borderId="5" xfId="1" applyNumberFormat="1" applyFont="1" applyBorder="1" applyAlignment="1">
      <alignment horizontal="center"/>
    </xf>
    <xf numFmtId="164" fontId="5" fillId="2" borderId="5" xfId="1" applyNumberFormat="1" applyFont="1" applyFill="1" applyBorder="1" applyAlignment="1">
      <alignment horizontal="center"/>
    </xf>
    <xf numFmtId="0" fontId="2" fillId="3" borderId="4" xfId="1" applyFont="1" applyFill="1" applyBorder="1" applyAlignment="1">
      <alignment horizontal="left"/>
    </xf>
    <xf numFmtId="164" fontId="2" fillId="3" borderId="5" xfId="1" applyNumberFormat="1" applyFont="1" applyFill="1" applyBorder="1" applyAlignment="1">
      <alignment horizontal="center"/>
    </xf>
    <xf numFmtId="0" fontId="2" fillId="0" borderId="2" xfId="1" applyFont="1" applyBorder="1" applyAlignment="1">
      <alignment horizontal="left"/>
    </xf>
    <xf numFmtId="10" fontId="2" fillId="0" borderId="3" xfId="1" applyNumberFormat="1" applyFont="1" applyBorder="1" applyAlignment="1">
      <alignment horizontal="center"/>
    </xf>
    <xf numFmtId="165" fontId="4" fillId="0" borderId="7" xfId="1" applyNumberFormat="1" applyFont="1" applyBorder="1" applyAlignment="1">
      <alignment horizontal="left"/>
    </xf>
    <xf numFmtId="165" fontId="4" fillId="0" borderId="9" xfId="1" applyNumberFormat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9" fontId="2" fillId="0" borderId="11" xfId="1" applyNumberFormat="1" applyFont="1" applyBorder="1" applyAlignment="1">
      <alignment horizontal="center"/>
    </xf>
    <xf numFmtId="0" fontId="2" fillId="0" borderId="12" xfId="1" applyFont="1" applyBorder="1" applyAlignment="1">
      <alignment horizontal="left"/>
    </xf>
    <xf numFmtId="10" fontId="2" fillId="0" borderId="13" xfId="1" applyNumberFormat="1" applyFont="1" applyBorder="1" applyAlignment="1">
      <alignment horizontal="center"/>
    </xf>
    <xf numFmtId="0" fontId="2" fillId="0" borderId="6" xfId="1" applyFont="1" applyBorder="1" applyAlignment="1">
      <alignment horizontal="left"/>
    </xf>
    <xf numFmtId="9" fontId="2" fillId="0" borderId="9" xfId="1" applyNumberFormat="1" applyFont="1" applyBorder="1" applyAlignment="1">
      <alignment horizontal="center"/>
    </xf>
    <xf numFmtId="3" fontId="4" fillId="0" borderId="9" xfId="1" applyNumberFormat="1" applyFont="1" applyBorder="1" applyAlignment="1">
      <alignment horizontal="left"/>
    </xf>
    <xf numFmtId="0" fontId="2" fillId="4" borderId="1" xfId="1" applyFont="1" applyFill="1" applyBorder="1" applyAlignment="1">
      <alignment horizontal="left" wrapText="1"/>
    </xf>
    <xf numFmtId="0" fontId="2" fillId="4" borderId="14" xfId="1" applyFont="1" applyFill="1" applyBorder="1" applyAlignment="1">
      <alignment horizontal="left" wrapText="1"/>
    </xf>
    <xf numFmtId="167" fontId="2" fillId="4" borderId="3" xfId="1" applyNumberFormat="1" applyFont="1" applyFill="1" applyBorder="1" applyAlignment="1">
      <alignment horizontal="center"/>
    </xf>
    <xf numFmtId="0" fontId="2" fillId="5" borderId="1" xfId="1" applyFont="1" applyFill="1" applyBorder="1" applyAlignment="1">
      <alignment horizontal="left"/>
    </xf>
    <xf numFmtId="0" fontId="2" fillId="5" borderId="14" xfId="1" applyFont="1" applyFill="1" applyBorder="1" applyAlignment="1">
      <alignment horizontal="left"/>
    </xf>
    <xf numFmtId="167" fontId="2" fillId="5" borderId="3" xfId="1" applyNumberFormat="1" applyFont="1" applyFill="1" applyBorder="1" applyAlignment="1">
      <alignment horizontal="center"/>
    </xf>
    <xf numFmtId="0" fontId="2" fillId="0" borderId="15" xfId="1" applyFont="1" applyBorder="1" applyAlignment="1">
      <alignment horizontal="left"/>
    </xf>
    <xf numFmtId="0" fontId="2" fillId="0" borderId="16" xfId="1" applyFont="1" applyBorder="1" applyAlignment="1">
      <alignment horizontal="left"/>
    </xf>
    <xf numFmtId="10" fontId="2" fillId="0" borderId="17" xfId="1" applyNumberFormat="1" applyFont="1" applyBorder="1" applyAlignment="1">
      <alignment horizontal="center"/>
    </xf>
    <xf numFmtId="167" fontId="2" fillId="0" borderId="18" xfId="1" applyNumberFormat="1" applyFont="1" applyBorder="1" applyAlignment="1">
      <alignment horizontal="center"/>
    </xf>
    <xf numFmtId="2" fontId="4" fillId="0" borderId="0" xfId="1" applyNumberFormat="1" applyFont="1" applyAlignment="1">
      <alignment horizontal="left"/>
    </xf>
    <xf numFmtId="1" fontId="4" fillId="0" borderId="6" xfId="1" applyNumberFormat="1" applyFont="1" applyBorder="1" applyAlignment="1">
      <alignment horizontal="left"/>
    </xf>
    <xf numFmtId="165" fontId="4" fillId="0" borderId="8" xfId="1" applyNumberFormat="1" applyFont="1" applyBorder="1" applyAlignment="1">
      <alignment horizontal="left"/>
    </xf>
    <xf numFmtId="164" fontId="4" fillId="0" borderId="9" xfId="1" applyNumberFormat="1" applyFont="1" applyBorder="1" applyAlignment="1">
      <alignment horizontal="left"/>
    </xf>
    <xf numFmtId="0" fontId="5" fillId="2" borderId="6" xfId="1" applyFont="1" applyFill="1" applyBorder="1"/>
    <xf numFmtId="10" fontId="5" fillId="2" borderId="19" xfId="1" applyNumberFormat="1" applyFont="1" applyFill="1" applyBorder="1" applyAlignment="1">
      <alignment horizontal="center"/>
    </xf>
    <xf numFmtId="167" fontId="5" fillId="2" borderId="9" xfId="1" applyNumberFormat="1" applyFont="1" applyFill="1" applyBorder="1" applyAlignment="1">
      <alignment horizontal="center"/>
    </xf>
    <xf numFmtId="10" fontId="2" fillId="0" borderId="19" xfId="1" applyNumberFormat="1" applyFont="1" applyBorder="1" applyAlignment="1">
      <alignment horizontal="center"/>
    </xf>
    <xf numFmtId="167" fontId="6" fillId="0" borderId="9" xfId="1" applyNumberFormat="1" applyFont="1" applyBorder="1" applyAlignment="1">
      <alignment horizontal="center"/>
    </xf>
    <xf numFmtId="0" fontId="2" fillId="0" borderId="20" xfId="1" applyFont="1" applyBorder="1" applyAlignment="1">
      <alignment horizontal="left"/>
    </xf>
    <xf numFmtId="0" fontId="2" fillId="0" borderId="21" xfId="1" applyFont="1" applyBorder="1" applyAlignment="1">
      <alignment horizontal="left"/>
    </xf>
    <xf numFmtId="0" fontId="2" fillId="0" borderId="2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4" fillId="0" borderId="16" xfId="1" applyFont="1" applyBorder="1" applyAlignment="1">
      <alignment horizontal="left"/>
    </xf>
    <xf numFmtId="0" fontId="4" fillId="0" borderId="24" xfId="1" applyFont="1" applyBorder="1" applyAlignment="1">
      <alignment horizontal="left"/>
    </xf>
    <xf numFmtId="165" fontId="4" fillId="0" borderId="25" xfId="1" applyNumberFormat="1" applyFont="1" applyBorder="1" applyAlignment="1">
      <alignment horizontal="left"/>
    </xf>
    <xf numFmtId="165" fontId="4" fillId="0" borderId="18" xfId="1" applyNumberFormat="1" applyFont="1" applyBorder="1" applyAlignment="1">
      <alignment horizontal="left"/>
    </xf>
    <xf numFmtId="165" fontId="4" fillId="0" borderId="0" xfId="1" applyNumberFormat="1" applyFont="1" applyAlignment="1">
      <alignment horizontal="left"/>
    </xf>
    <xf numFmtId="0" fontId="3" fillId="6" borderId="0" xfId="1" applyFont="1" applyFill="1" applyAlignment="1">
      <alignment horizontal="left"/>
    </xf>
    <xf numFmtId="0" fontId="3" fillId="6" borderId="16" xfId="1" applyFont="1" applyFill="1" applyBorder="1" applyAlignment="1">
      <alignment horizontal="left"/>
    </xf>
    <xf numFmtId="164" fontId="4" fillId="0" borderId="0" xfId="1" applyNumberFormat="1" applyFont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26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165" fontId="4" fillId="0" borderId="6" xfId="1" applyNumberFormat="1" applyFont="1" applyBorder="1" applyAlignment="1">
      <alignment horizontal="left"/>
    </xf>
    <xf numFmtId="0" fontId="4" fillId="0" borderId="26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167" fontId="4" fillId="0" borderId="8" xfId="1" applyNumberFormat="1" applyFont="1" applyBorder="1" applyAlignment="1">
      <alignment horizontal="left"/>
    </xf>
    <xf numFmtId="9" fontId="4" fillId="0" borderId="0" xfId="1" applyNumberFormat="1" applyFont="1" applyAlignment="1">
      <alignment horizontal="left"/>
    </xf>
    <xf numFmtId="0" fontId="2" fillId="0" borderId="27" xfId="1" applyFont="1" applyBorder="1" applyAlignment="1">
      <alignment horizontal="left"/>
    </xf>
    <xf numFmtId="9" fontId="4" fillId="0" borderId="28" xfId="1" applyNumberFormat="1" applyFont="1" applyBorder="1" applyAlignment="1">
      <alignment horizontal="left"/>
    </xf>
  </cellXfs>
  <cellStyles count="2">
    <cellStyle name="Normal" xfId="0" builtinId="0"/>
    <cellStyle name="Normal 5" xfId="1" xr:uid="{F650BBEB-349D-404D-82D7-870CB3396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fb2b82e4dcc2f81/Neg&#243;cios/Pixel%20Pop/Financeiro-MEI/pixel_pop_2025.xlsx" TargetMode="External"/><Relationship Id="rId1" Type="http://schemas.openxmlformats.org/officeDocument/2006/relationships/externalLinkPath" Target="https://d.docs.live.net/bfb2b82e4dcc2f81/Neg&#243;cios/Pixel%20Pop/Financeiro-MEI/pixel_pop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os Mensais"/>
      <sheetName val="Despesas &amp; Receitas (2025)"/>
      <sheetName val="Precificação"/>
      <sheetName val="Precificação Serviços"/>
      <sheetName val="Impressões"/>
      <sheetName val="Manutenção"/>
      <sheetName val="Fluxo Diário"/>
      <sheetName val="Salário"/>
      <sheetName val="Tabela Consolidada"/>
      <sheetName val="Diversos"/>
    </sheetNames>
    <sheetDataSet>
      <sheetData sheetId="0"/>
      <sheetData sheetId="1">
        <row r="1">
          <cell r="A1" t="str">
            <v>Descrição</v>
          </cell>
          <cell r="B1" t="str">
            <v>OBS</v>
          </cell>
          <cell r="E1" t="str">
            <v>Valor</v>
          </cell>
        </row>
        <row r="2">
          <cell r="A2" t="str">
            <v>Filamentos P001 (7 cores) Tecnocubo 5/12</v>
          </cell>
          <cell r="E2">
            <v>53.16</v>
          </cell>
        </row>
        <row r="3">
          <cell r="A3" t="str">
            <v>03 Bicos de Limpeza 0.2mm</v>
          </cell>
          <cell r="E3">
            <v>30.4</v>
          </cell>
        </row>
        <row r="4">
          <cell r="A4" t="str">
            <v>Protótipo (TopRadiologia)</v>
          </cell>
          <cell r="E4">
            <v>8.5</v>
          </cell>
        </row>
        <row r="5">
          <cell r="A5" t="str">
            <v>[Brinde] Logo DC + Chaveiro</v>
          </cell>
          <cell r="E5">
            <v>13.43</v>
          </cell>
        </row>
        <row r="6">
          <cell r="A6" t="str">
            <v>DAS MEI (Março)</v>
          </cell>
          <cell r="E6">
            <v>81.900000000000006</v>
          </cell>
        </row>
        <row r="7">
          <cell r="A7" t="str">
            <v>Filamentos P001 (7 cores) Tecnocubo 9/12</v>
          </cell>
          <cell r="E7">
            <v>53.16</v>
          </cell>
        </row>
        <row r="8">
          <cell r="A8" t="str">
            <v>Filamentos P010 (4 cores) Tecnocubo 4/5</v>
          </cell>
          <cell r="E8">
            <v>80.472000000000008</v>
          </cell>
        </row>
        <row r="9">
          <cell r="A9" t="str">
            <v>Filamentos P001 (7 cores) Tecnocubo 1/12</v>
          </cell>
          <cell r="B9">
            <v>7</v>
          </cell>
          <cell r="E9">
            <v>53.16</v>
          </cell>
        </row>
        <row r="10">
          <cell r="A10" t="str">
            <v>Filamentos P002 (1 cor) Aluminio ML</v>
          </cell>
          <cell r="B10">
            <v>1</v>
          </cell>
          <cell r="E10">
            <v>109.46</v>
          </cell>
        </row>
        <row r="11">
          <cell r="A11" t="str">
            <v>Filamentos P003 (1 cor) Dourado Amazon</v>
          </cell>
          <cell r="B11">
            <v>1</v>
          </cell>
          <cell r="E11">
            <v>109.9</v>
          </cell>
        </row>
        <row r="12">
          <cell r="A12" t="str">
            <v>Filamentos P004 (1 cor) Laranja Tecnocubo</v>
          </cell>
          <cell r="B12">
            <v>1</v>
          </cell>
          <cell r="E12">
            <v>93.9</v>
          </cell>
        </row>
        <row r="13">
          <cell r="A13" t="str">
            <v>Diversos (Dezembro)</v>
          </cell>
          <cell r="E13">
            <v>291.69</v>
          </cell>
        </row>
        <row r="14">
          <cell r="A14" t="str">
            <v>Filamentos P001 (7 cores) Tecnocubo 3/12</v>
          </cell>
          <cell r="E14">
            <v>53.16</v>
          </cell>
        </row>
        <row r="15">
          <cell r="A15" t="str">
            <v>Filamentos P006 (2 cores) Preto Azul Tecnocubo</v>
          </cell>
          <cell r="B15">
            <v>2</v>
          </cell>
          <cell r="E15">
            <v>206.43</v>
          </cell>
        </row>
        <row r="16">
          <cell r="A16" t="str">
            <v>Sacolinhas</v>
          </cell>
          <cell r="E16">
            <v>67.25</v>
          </cell>
        </row>
        <row r="17">
          <cell r="A17" t="str">
            <v>Filamentos P007 (1 cor) Cinza Nintendo Tecnocubo</v>
          </cell>
          <cell r="B17">
            <v>1</v>
          </cell>
          <cell r="E17">
            <v>99.18</v>
          </cell>
        </row>
        <row r="18">
          <cell r="A18" t="str">
            <v>DAS MEI (Janeiro)</v>
          </cell>
          <cell r="E18">
            <v>81.900000000000006</v>
          </cell>
        </row>
        <row r="19">
          <cell r="A19" t="str">
            <v>Argolas para chaveiro (500)</v>
          </cell>
          <cell r="E19">
            <v>45.65</v>
          </cell>
        </row>
        <row r="20">
          <cell r="A20" t="str">
            <v>Patrocinio</v>
          </cell>
          <cell r="E20">
            <v>150</v>
          </cell>
        </row>
        <row r="21">
          <cell r="A21" t="str">
            <v>Filamentos P001 (7 cores) Tecnocubo 2/12</v>
          </cell>
          <cell r="E21">
            <v>53.16</v>
          </cell>
        </row>
        <row r="22">
          <cell r="A22" t="str">
            <v>Filamentos P005 (1 cor) Roxo Tecnocubo</v>
          </cell>
          <cell r="B22">
            <v>1</v>
          </cell>
          <cell r="E22">
            <v>119</v>
          </cell>
        </row>
        <row r="23">
          <cell r="A23" t="str">
            <v>Recarga Inicial Celular</v>
          </cell>
          <cell r="E23">
            <v>73</v>
          </cell>
        </row>
        <row r="24">
          <cell r="A24" t="str">
            <v>Filamentos P001 (7 cores) Tecnocubo 8/12</v>
          </cell>
          <cell r="E24">
            <v>53.16</v>
          </cell>
        </row>
        <row r="25">
          <cell r="A25" t="str">
            <v>Filamentos P010 (4 cores) Tecnocubo 3/5</v>
          </cell>
          <cell r="E25">
            <v>80.472000000000008</v>
          </cell>
        </row>
        <row r="26">
          <cell r="A26" t="str">
            <v>Filamentos P001 (7 cores) Tecnocubo 7/12</v>
          </cell>
          <cell r="E26">
            <v>53.16</v>
          </cell>
        </row>
        <row r="27">
          <cell r="A27" t="str">
            <v>Filamentos P010 (4 cores) Tecnocubo 2/5</v>
          </cell>
          <cell r="E27">
            <v>80.472000000000008</v>
          </cell>
        </row>
        <row r="28">
          <cell r="A28" t="str">
            <v>Filamentos P001 (7 cores) Tecnocubo 6/12</v>
          </cell>
          <cell r="E28">
            <v>53.16</v>
          </cell>
        </row>
        <row r="29">
          <cell r="A29" t="str">
            <v>Filamentos P010 (4 cores) Tecnocubo 1/5</v>
          </cell>
          <cell r="B29">
            <v>4</v>
          </cell>
          <cell r="E29">
            <v>80.472000000000008</v>
          </cell>
        </row>
        <row r="30">
          <cell r="A30" t="str">
            <v>Filamentos P001 (7 cores) Tecnocubo 4/12</v>
          </cell>
          <cell r="E30">
            <v>53.16</v>
          </cell>
        </row>
        <row r="31">
          <cell r="A31" t="str">
            <v>Filamentos P008 (1 cor) Preto Tecnocubo</v>
          </cell>
          <cell r="B31">
            <v>1</v>
          </cell>
          <cell r="E31">
            <v>89.2</v>
          </cell>
        </row>
        <row r="32">
          <cell r="A32" t="str">
            <v>Filamentos P009 (1 cor) Vermelho Tecnocubo</v>
          </cell>
          <cell r="B32">
            <v>1</v>
          </cell>
          <cell r="E32">
            <v>89.2</v>
          </cell>
        </row>
        <row r="33">
          <cell r="A33" t="str">
            <v>DAS MEI (Fevereiro)</v>
          </cell>
          <cell r="E33">
            <v>81.900000000000006</v>
          </cell>
        </row>
        <row r="34">
          <cell r="A34" t="str">
            <v>[Doação] Campeonato de Basquete Medalhas</v>
          </cell>
          <cell r="E34">
            <v>52.2</v>
          </cell>
        </row>
        <row r="35">
          <cell r="A35" t="str">
            <v>[Doação] Campeonato de Basquete Troféu</v>
          </cell>
          <cell r="E35">
            <v>56.91</v>
          </cell>
        </row>
        <row r="36">
          <cell r="A36" t="str">
            <v>Filamentos P001 (7 cores) Tecnocubo 12/12</v>
          </cell>
          <cell r="E36">
            <v>53.16</v>
          </cell>
        </row>
        <row r="37">
          <cell r="A37" t="str">
            <v>Filamentos P001 (7 cores) Tecnocubo 11/12</v>
          </cell>
          <cell r="E37">
            <v>53.16</v>
          </cell>
        </row>
        <row r="38">
          <cell r="A38" t="str">
            <v>Filamentos P001 (7 cores) Tecnocubo 10/12</v>
          </cell>
          <cell r="E38">
            <v>53.16</v>
          </cell>
        </row>
        <row r="39">
          <cell r="A39" t="str">
            <v>Filamentos P010 (4 cores) Tecnocubo 5/5</v>
          </cell>
          <cell r="E39">
            <v>80.472000000000008</v>
          </cell>
        </row>
        <row r="40">
          <cell r="A40" t="str">
            <v>Filamentos P011 Tecnocubo Preto</v>
          </cell>
          <cell r="B40">
            <v>1</v>
          </cell>
          <cell r="E40">
            <v>89.2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CE6E-A146-4251-9284-DDFC14D43E0B}">
  <sheetPr>
    <tabColor rgb="FF7030A0"/>
    <outlinePr summaryBelow="0" summaryRight="0"/>
  </sheetPr>
  <dimension ref="A1:AC1017"/>
  <sheetViews>
    <sheetView showGridLines="0" tabSelected="1" workbookViewId="0">
      <selection activeCell="G30" sqref="G30"/>
    </sheetView>
  </sheetViews>
  <sheetFormatPr defaultColWidth="12.5703125" defaultRowHeight="15.75" customHeight="1" x14ac:dyDescent="0.25"/>
  <cols>
    <col min="1" max="1" width="3.140625" style="2" customWidth="1"/>
    <col min="2" max="2" width="25.5703125" style="2" customWidth="1"/>
    <col min="3" max="3" width="16.140625" style="2" customWidth="1"/>
    <col min="4" max="4" width="16.7109375" style="2" customWidth="1"/>
    <col min="5" max="6" width="14.85546875" style="2" customWidth="1"/>
    <col min="7" max="7" width="29.7109375" style="2" bestFit="1" customWidth="1"/>
    <col min="8" max="8" width="12.5703125" style="2"/>
    <col min="9" max="9" width="10.5703125" style="2" bestFit="1" customWidth="1"/>
    <col min="10" max="10" width="2.140625" style="2" customWidth="1"/>
    <col min="11" max="11" width="16" style="2" bestFit="1" customWidth="1"/>
    <col min="12" max="13" width="12.5703125" style="2"/>
    <col min="14" max="14" width="5" style="2" customWidth="1"/>
    <col min="15" max="15" width="4.42578125" style="2" customWidth="1"/>
    <col min="16" max="16" width="31.42578125" style="2" bestFit="1" customWidth="1"/>
    <col min="17" max="16384" width="12.5703125" style="2"/>
  </cols>
  <sheetData>
    <row r="1" spans="1:29" x14ac:dyDescent="0.25">
      <c r="A1" s="1"/>
      <c r="B1" s="1"/>
      <c r="C1" s="1"/>
      <c r="D1" s="1"/>
      <c r="E1" s="1"/>
      <c r="F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</row>
    <row r="2" spans="1:29" ht="1.5" customHeight="1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</row>
    <row r="3" spans="1:29" ht="16.5" thickBot="1" x14ac:dyDescent="0.3">
      <c r="A3" s="1"/>
      <c r="B3" s="4" t="s">
        <v>0</v>
      </c>
      <c r="C3" s="5" t="s">
        <v>1</v>
      </c>
      <c r="D3" s="5" t="s">
        <v>2</v>
      </c>
      <c r="E3" s="6" t="s">
        <v>3</v>
      </c>
      <c r="F3" s="1"/>
      <c r="G3" s="7" t="s">
        <v>4</v>
      </c>
      <c r="H3" s="8">
        <f>($D$9+$D$15+$E$18+$E$19+$E$20+E$21+$E$22+$E$23+$E$24+$C$27+$D$33)+$B$36*($D$9+$D$15+$D$33)</f>
        <v>12.132564987179491</v>
      </c>
      <c r="L3" s="1"/>
      <c r="M3" s="1"/>
      <c r="N3" s="1"/>
      <c r="O3" s="1"/>
      <c r="P3" s="7" t="s">
        <v>5</v>
      </c>
      <c r="Q3" s="8">
        <v>6000</v>
      </c>
      <c r="R3" s="3"/>
      <c r="S3" s="1"/>
      <c r="T3" s="1"/>
      <c r="U3" s="1"/>
      <c r="V3" s="1"/>
      <c r="W3" s="1"/>
      <c r="X3" s="1"/>
      <c r="Y3" s="1"/>
      <c r="Z3" s="1"/>
      <c r="AA3" s="1"/>
    </row>
    <row r="4" spans="1:29" ht="16.5" thickBot="1" x14ac:dyDescent="0.3">
      <c r="A4" s="1"/>
      <c r="B4" s="9" t="s">
        <v>6</v>
      </c>
      <c r="C4" s="10">
        <v>2</v>
      </c>
      <c r="D4" s="11">
        <v>47</v>
      </c>
      <c r="E4" s="12">
        <v>58.71</v>
      </c>
      <c r="F4" s="13"/>
      <c r="G4" s="7" t="s">
        <v>7</v>
      </c>
      <c r="H4" s="14">
        <v>1</v>
      </c>
      <c r="I4" s="13"/>
      <c r="J4" s="13"/>
      <c r="K4" s="13"/>
      <c r="L4" s="13"/>
      <c r="M4" s="13"/>
      <c r="N4" s="13"/>
      <c r="O4" s="13"/>
      <c r="P4" s="7" t="s">
        <v>8</v>
      </c>
      <c r="Q4" s="14">
        <v>30</v>
      </c>
      <c r="R4" s="15"/>
      <c r="S4" s="13"/>
      <c r="T4" s="13"/>
      <c r="U4" s="13"/>
      <c r="V4" s="13"/>
      <c r="W4" s="13"/>
      <c r="X4" s="13"/>
      <c r="Y4" s="13"/>
      <c r="Z4" s="13"/>
      <c r="AA4" s="13"/>
    </row>
    <row r="5" spans="1:29" ht="16.5" thickBot="1" x14ac:dyDescent="0.3">
      <c r="A5" s="1"/>
      <c r="B5" s="13"/>
      <c r="C5" s="13"/>
      <c r="D5" s="13"/>
      <c r="E5" s="13"/>
      <c r="F5" s="13"/>
      <c r="G5" s="16" t="s">
        <v>9</v>
      </c>
      <c r="H5" s="17">
        <f>H3/H4</f>
        <v>12.132564987179491</v>
      </c>
      <c r="L5" s="13"/>
      <c r="M5" s="13"/>
      <c r="N5" s="13"/>
      <c r="O5" s="13"/>
      <c r="P5" s="7" t="s">
        <v>10</v>
      </c>
      <c r="Q5" s="14">
        <v>24</v>
      </c>
      <c r="R5" s="15"/>
      <c r="S5" s="13"/>
      <c r="T5" s="13"/>
      <c r="U5" s="13"/>
      <c r="V5" s="13"/>
      <c r="W5" s="13"/>
      <c r="X5" s="13"/>
      <c r="Y5" s="13"/>
      <c r="Z5" s="13"/>
      <c r="AA5" s="13"/>
    </row>
    <row r="6" spans="1:29" ht="16.5" thickBot="1" x14ac:dyDescent="0.3">
      <c r="A6" s="1"/>
      <c r="B6" s="1"/>
      <c r="C6" s="1"/>
      <c r="D6" s="1"/>
      <c r="E6" s="1"/>
      <c r="F6" s="1"/>
      <c r="G6" s="7" t="s">
        <v>11</v>
      </c>
      <c r="H6" s="18">
        <f>I6/H5</f>
        <v>0.20605700465167553</v>
      </c>
      <c r="I6" s="19">
        <v>2.5</v>
      </c>
      <c r="L6" s="1"/>
      <c r="M6" s="1"/>
      <c r="N6" s="1"/>
      <c r="O6" s="1"/>
      <c r="P6" s="7" t="s">
        <v>12</v>
      </c>
      <c r="Q6" s="14">
        <f>Q4*Q5</f>
        <v>720</v>
      </c>
      <c r="R6" s="3"/>
      <c r="S6" s="1"/>
      <c r="T6" s="1"/>
      <c r="U6" s="1"/>
      <c r="V6" s="1"/>
      <c r="W6" s="1"/>
      <c r="X6" s="1"/>
      <c r="Y6" s="1"/>
      <c r="Z6" s="1"/>
      <c r="AA6" s="1"/>
    </row>
    <row r="7" spans="1:29" ht="16.5" thickBot="1" x14ac:dyDescent="0.3">
      <c r="A7" s="1"/>
      <c r="B7" s="1" t="s">
        <v>13</v>
      </c>
      <c r="C7" s="1"/>
      <c r="D7" s="1"/>
      <c r="E7" s="1"/>
      <c r="F7" s="1"/>
      <c r="L7" s="1"/>
      <c r="M7" s="1"/>
      <c r="N7" s="1"/>
      <c r="O7" s="1"/>
      <c r="P7" s="20" t="s">
        <v>14</v>
      </c>
      <c r="Q7" s="21">
        <f>Q3/Q6</f>
        <v>8.3333333333333339</v>
      </c>
      <c r="R7" s="3"/>
      <c r="S7" s="1"/>
      <c r="T7" s="1"/>
      <c r="U7" s="1"/>
      <c r="V7" s="1"/>
      <c r="W7" s="1"/>
      <c r="X7" s="1"/>
      <c r="Y7" s="1"/>
      <c r="Z7" s="1"/>
      <c r="AA7" s="1"/>
    </row>
    <row r="8" spans="1:29" ht="16.5" thickBot="1" x14ac:dyDescent="0.3">
      <c r="A8" s="1"/>
      <c r="B8" s="4" t="s">
        <v>15</v>
      </c>
      <c r="C8" s="22" t="s">
        <v>16</v>
      </c>
      <c r="D8" s="6" t="s">
        <v>17</v>
      </c>
      <c r="E8" s="1"/>
      <c r="F8" s="1"/>
      <c r="G8" s="4" t="s">
        <v>18</v>
      </c>
      <c r="H8" s="23">
        <v>0</v>
      </c>
      <c r="I8" s="2" t="s">
        <v>19</v>
      </c>
      <c r="L8" s="1"/>
      <c r="M8" s="1"/>
      <c r="N8" s="1"/>
      <c r="O8" s="1"/>
      <c r="P8" s="3"/>
      <c r="Q8" s="3"/>
      <c r="R8" s="3"/>
      <c r="S8" s="1"/>
      <c r="T8" s="1"/>
      <c r="U8" s="1"/>
      <c r="V8" s="1"/>
      <c r="W8" s="1"/>
      <c r="X8" s="1"/>
      <c r="Y8" s="1"/>
      <c r="Z8" s="1"/>
      <c r="AA8" s="1"/>
    </row>
    <row r="9" spans="1:29" ht="16.5" thickBot="1" x14ac:dyDescent="0.3">
      <c r="A9" s="1"/>
      <c r="B9" s="9" t="s">
        <v>20</v>
      </c>
      <c r="C9" s="24">
        <f>SUMIF('[1]Despesas &amp; Receitas (2025)'!A:A,"*filamentos*",'[1]Despesas &amp; Receitas (2025)'!E:E)/SUMIF('[1]Despesas &amp; Receitas (2025)'!A:A,"*filamentos*",'[1]Despesas &amp; Receitas (2025)'!B:B)</f>
        <v>97.416666666666686</v>
      </c>
      <c r="D9" s="25">
        <f>(E4/1000)*C9</f>
        <v>5.719332500000001</v>
      </c>
      <c r="E9" s="13"/>
      <c r="F9" s="13"/>
      <c r="G9" s="26" t="s">
        <v>21</v>
      </c>
      <c r="H9" s="27">
        <v>0</v>
      </c>
      <c r="I9" s="2" t="s">
        <v>22</v>
      </c>
      <c r="L9" s="1"/>
      <c r="M9" s="1"/>
      <c r="N9" s="13"/>
      <c r="O9" s="13"/>
      <c r="P9" s="28" t="s">
        <v>23</v>
      </c>
      <c r="Q9" s="29">
        <v>0.2</v>
      </c>
      <c r="R9" s="15"/>
      <c r="S9" s="13"/>
      <c r="T9" s="13"/>
      <c r="U9" s="13"/>
      <c r="V9" s="13"/>
      <c r="W9" s="13"/>
      <c r="X9" s="13"/>
      <c r="Y9" s="13"/>
      <c r="Z9" s="13"/>
      <c r="AA9" s="13"/>
    </row>
    <row r="10" spans="1:29" ht="16.5" thickBot="1" x14ac:dyDescent="0.3">
      <c r="A10" s="1"/>
      <c r="B10" s="13"/>
      <c r="C10" s="13"/>
      <c r="D10" s="13"/>
      <c r="E10" s="13"/>
      <c r="F10" s="13"/>
      <c r="G10" s="30" t="s">
        <v>24</v>
      </c>
      <c r="H10" s="31">
        <v>0</v>
      </c>
      <c r="I10" s="2" t="s">
        <v>25</v>
      </c>
      <c r="L10" s="1"/>
      <c r="M10" s="1"/>
      <c r="N10" s="13"/>
      <c r="O10" s="13"/>
      <c r="P10" s="15"/>
      <c r="Q10" s="15"/>
      <c r="R10" s="15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6.5" thickBot="1" x14ac:dyDescent="0.3">
      <c r="A11" s="1"/>
      <c r="B11" s="4" t="s">
        <v>26</v>
      </c>
      <c r="C11" s="6" t="s">
        <v>27</v>
      </c>
      <c r="D11" s="13"/>
      <c r="E11" s="13"/>
      <c r="F11" s="13"/>
      <c r="L11" s="1"/>
      <c r="M11" s="1"/>
      <c r="N11" s="13"/>
      <c r="O11" s="13"/>
      <c r="P11" s="20" t="s">
        <v>28</v>
      </c>
      <c r="Q11" s="21">
        <f>Q7*Q9</f>
        <v>1.666666666666667</v>
      </c>
      <c r="R11" s="15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6.5" thickBot="1" x14ac:dyDescent="0.3">
      <c r="A12" s="1"/>
      <c r="B12" s="9" t="s">
        <v>29</v>
      </c>
      <c r="C12" s="32">
        <v>100</v>
      </c>
      <c r="D12" s="13"/>
      <c r="E12" s="13"/>
      <c r="F12" s="13"/>
      <c r="G12" s="3" t="s">
        <v>30</v>
      </c>
      <c r="L12" s="1"/>
      <c r="M12" s="1"/>
      <c r="N12" s="13"/>
      <c r="O12" s="13"/>
      <c r="P12" s="15"/>
      <c r="Q12" s="15"/>
      <c r="R12" s="15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6.5" thickBot="1" x14ac:dyDescent="0.3">
      <c r="A13" s="1"/>
      <c r="B13" s="13"/>
      <c r="C13" s="13"/>
      <c r="D13" s="13"/>
      <c r="E13" s="13"/>
      <c r="F13" s="13"/>
      <c r="G13" s="33" t="s">
        <v>31</v>
      </c>
      <c r="H13" s="34"/>
      <c r="I13" s="35">
        <f>H5*H6</f>
        <v>2.5</v>
      </c>
      <c r="J13" s="13"/>
      <c r="K13" s="36" t="s">
        <v>32</v>
      </c>
      <c r="L13" s="37"/>
      <c r="M13" s="38">
        <f>I13/2</f>
        <v>1.25</v>
      </c>
      <c r="N13" s="13"/>
      <c r="O13" s="13"/>
      <c r="P13" s="15"/>
      <c r="Q13" s="15"/>
      <c r="R13" s="15"/>
      <c r="S13" s="13"/>
      <c r="T13" s="13"/>
      <c r="U13" s="13"/>
      <c r="V13" s="13"/>
      <c r="W13" s="13"/>
      <c r="X13" s="13"/>
      <c r="Y13" s="13"/>
      <c r="Z13" s="13"/>
      <c r="AA13" s="13"/>
    </row>
    <row r="14" spans="1:29" x14ac:dyDescent="0.25">
      <c r="A14" s="1"/>
      <c r="B14" s="4" t="s">
        <v>33</v>
      </c>
      <c r="C14" s="39" t="s">
        <v>34</v>
      </c>
      <c r="D14" s="6" t="s">
        <v>35</v>
      </c>
      <c r="E14" s="1"/>
      <c r="F14" s="1"/>
      <c r="G14" s="40" t="s">
        <v>36</v>
      </c>
      <c r="H14" s="41">
        <f>I14/I13</f>
        <v>-3.8530259948717962</v>
      </c>
      <c r="I14" s="42">
        <f>I13-H5-(I13*H8)</f>
        <v>-9.6325649871794905</v>
      </c>
      <c r="J14" s="1"/>
      <c r="K14" s="40" t="s">
        <v>37</v>
      </c>
      <c r="L14" s="41">
        <f>M14/M13</f>
        <v>-8.7060519897435924</v>
      </c>
      <c r="M14" s="42">
        <f>M13-H5</f>
        <v>-10.882564987179491</v>
      </c>
      <c r="N14" s="1"/>
      <c r="O14" s="1"/>
      <c r="P14" s="3"/>
      <c r="Q14" s="3"/>
      <c r="R14" s="3"/>
      <c r="S14" s="1"/>
      <c r="T14" s="1"/>
      <c r="U14" s="1"/>
      <c r="V14" s="1"/>
      <c r="W14" s="1"/>
      <c r="X14" s="1"/>
      <c r="Y14" s="1"/>
      <c r="Z14" s="1"/>
      <c r="AA14" s="1"/>
    </row>
    <row r="15" spans="1:29" ht="16.5" thickBot="1" x14ac:dyDescent="0.3">
      <c r="A15" s="43"/>
      <c r="B15" s="44">
        <f>(C12/60)*(C4*60+D4)</f>
        <v>278.33333333333337</v>
      </c>
      <c r="C15" s="45">
        <v>0.9</v>
      </c>
      <c r="D15" s="46">
        <f>B15*C15/1000</f>
        <v>0.25050000000000006</v>
      </c>
      <c r="E15" s="13"/>
      <c r="F15" s="13"/>
      <c r="G15" s="47" t="s">
        <v>38</v>
      </c>
      <c r="H15" s="48">
        <f>I15/I13</f>
        <v>-3.8530259948717962</v>
      </c>
      <c r="I15" s="49">
        <f>I14-(I14*H8)-(I14*H9)-(I14*H10)</f>
        <v>-9.6325649871794905</v>
      </c>
      <c r="J15" s="1"/>
      <c r="K15" s="30" t="s">
        <v>38</v>
      </c>
      <c r="L15" s="50">
        <f>M15/M13</f>
        <v>-8.7060519897435924</v>
      </c>
      <c r="M15" s="51">
        <f>M14-(M14*H8)</f>
        <v>-10.882564987179491</v>
      </c>
      <c r="N15" s="13"/>
      <c r="O15" s="13"/>
      <c r="P15" s="15"/>
      <c r="Q15" s="15"/>
      <c r="R15" s="15"/>
      <c r="S15" s="13"/>
      <c r="T15" s="13"/>
      <c r="U15" s="13"/>
      <c r="V15" s="13"/>
      <c r="W15" s="13"/>
      <c r="X15" s="13"/>
      <c r="Y15" s="13"/>
      <c r="Z15" s="13"/>
      <c r="AA15" s="13"/>
    </row>
    <row r="16" spans="1:29" ht="16.5" thickBot="1" x14ac:dyDescent="0.3">
      <c r="A16" s="13"/>
      <c r="B16" s="13"/>
      <c r="C16" s="13"/>
      <c r="D16" s="13"/>
      <c r="E16" s="13"/>
      <c r="F16" s="13"/>
      <c r="G16" s="15"/>
      <c r="H16" s="15"/>
      <c r="I16" s="15"/>
      <c r="J16" s="15"/>
      <c r="K16" s="1"/>
      <c r="L16" s="13"/>
      <c r="M16" s="13"/>
      <c r="N16" s="13"/>
      <c r="O16" s="13"/>
      <c r="P16" s="15"/>
      <c r="Q16" s="15"/>
      <c r="R16" s="15"/>
      <c r="S16" s="13"/>
      <c r="T16" s="13"/>
      <c r="U16" s="13"/>
      <c r="V16" s="13"/>
      <c r="W16" s="13"/>
      <c r="X16" s="13"/>
      <c r="Y16" s="13"/>
      <c r="Z16" s="13"/>
      <c r="AA16" s="13"/>
    </row>
    <row r="17" spans="1:28" ht="16.5" thickBot="1" x14ac:dyDescent="0.3">
      <c r="A17" s="1"/>
      <c r="B17" s="52" t="s">
        <v>39</v>
      </c>
      <c r="C17" s="53" t="s">
        <v>40</v>
      </c>
      <c r="D17" s="39" t="s">
        <v>41</v>
      </c>
      <c r="E17" s="6" t="s">
        <v>42</v>
      </c>
      <c r="F17" s="1"/>
      <c r="G17" s="54" t="s">
        <v>43</v>
      </c>
      <c r="H17" s="55"/>
      <c r="I17" s="8">
        <f>I13-I15</f>
        <v>12.132564987179491</v>
      </c>
      <c r="J17" s="1"/>
      <c r="K17" s="54" t="s">
        <v>43</v>
      </c>
      <c r="L17" s="55"/>
      <c r="M17" s="8">
        <f>M13-M15</f>
        <v>12.132564987179491</v>
      </c>
      <c r="N17" s="1"/>
      <c r="O17" s="1"/>
      <c r="P17" s="3"/>
      <c r="Q17" s="3"/>
      <c r="R17" s="3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3"/>
      <c r="B18" s="56" t="s">
        <v>44</v>
      </c>
      <c r="C18" s="57">
        <v>0</v>
      </c>
      <c r="D18" s="58">
        <v>0.09</v>
      </c>
      <c r="E18" s="59">
        <f t="shared" ref="E18:E24" si="0">D18*C18</f>
        <v>0</v>
      </c>
      <c r="F18" s="60"/>
      <c r="I18" s="13"/>
      <c r="J18" s="13"/>
      <c r="K18" s="13"/>
      <c r="L18" s="13"/>
      <c r="M18" s="13"/>
      <c r="N18" s="13"/>
      <c r="O18" s="13"/>
      <c r="P18" s="15"/>
      <c r="Q18" s="15"/>
      <c r="R18" s="15"/>
      <c r="S18" s="13"/>
      <c r="T18" s="13"/>
      <c r="U18" s="13"/>
      <c r="V18" s="13"/>
      <c r="W18" s="13"/>
      <c r="X18" s="13"/>
      <c r="Y18" s="13"/>
      <c r="Z18" s="13"/>
      <c r="AA18" s="13"/>
    </row>
    <row r="19" spans="1:28" x14ac:dyDescent="0.25">
      <c r="A19" s="61"/>
      <c r="B19" s="62" t="s">
        <v>45</v>
      </c>
      <c r="C19" s="57">
        <v>0</v>
      </c>
      <c r="D19" s="58">
        <v>1.34</v>
      </c>
      <c r="E19" s="59">
        <f t="shared" si="0"/>
        <v>0</v>
      </c>
      <c r="F19" s="60"/>
      <c r="G19" s="13"/>
      <c r="H19" s="13"/>
      <c r="I19" s="13"/>
      <c r="J19" s="13"/>
      <c r="K19" s="13"/>
      <c r="L19" s="13"/>
      <c r="M19" s="13"/>
      <c r="N19" s="13"/>
      <c r="O19" s="13"/>
      <c r="P19" s="15"/>
      <c r="Q19" s="15"/>
      <c r="R19" s="15"/>
      <c r="S19" s="13"/>
      <c r="T19" s="13"/>
      <c r="U19" s="13"/>
      <c r="V19" s="13"/>
      <c r="W19" s="13"/>
      <c r="X19" s="13"/>
      <c r="Y19" s="13"/>
      <c r="Z19" s="13"/>
      <c r="AA19" s="13"/>
    </row>
    <row r="20" spans="1:28" x14ac:dyDescent="0.25">
      <c r="A20" s="61"/>
      <c r="B20" s="62" t="s">
        <v>46</v>
      </c>
      <c r="C20" s="57">
        <v>0</v>
      </c>
      <c r="D20" s="58">
        <v>0.18</v>
      </c>
      <c r="E20" s="59">
        <f t="shared" si="0"/>
        <v>0</v>
      </c>
      <c r="F20" s="60"/>
      <c r="L20" s="1"/>
      <c r="M20" s="1"/>
      <c r="N20" s="13"/>
      <c r="O20" s="13"/>
      <c r="P20" s="15"/>
      <c r="Q20" s="15"/>
      <c r="R20" s="15"/>
      <c r="S20" s="13"/>
      <c r="T20" s="13"/>
      <c r="U20" s="13"/>
      <c r="V20" s="13"/>
      <c r="W20" s="13"/>
      <c r="X20" s="13"/>
      <c r="Y20" s="13"/>
      <c r="Z20" s="13"/>
      <c r="AA20" s="13"/>
    </row>
    <row r="21" spans="1:28" x14ac:dyDescent="0.25">
      <c r="A21" s="61"/>
      <c r="B21" s="62" t="s">
        <v>47</v>
      </c>
      <c r="C21" s="57">
        <v>0</v>
      </c>
      <c r="D21" s="58">
        <v>0.21</v>
      </c>
      <c r="E21" s="59">
        <f t="shared" si="0"/>
        <v>0</v>
      </c>
      <c r="F21" s="60"/>
      <c r="G21" s="13"/>
      <c r="H21" s="13"/>
      <c r="I21" s="63"/>
      <c r="J21" s="13"/>
      <c r="K21" s="13"/>
      <c r="L21" s="13"/>
      <c r="M21" s="13"/>
      <c r="N21" s="13"/>
      <c r="O21" s="13"/>
      <c r="P21" s="15"/>
      <c r="Q21" s="15"/>
      <c r="R21" s="15"/>
      <c r="S21" s="13"/>
      <c r="T21" s="13"/>
      <c r="U21" s="13"/>
      <c r="V21" s="13"/>
      <c r="W21" s="13"/>
      <c r="X21" s="13"/>
      <c r="Y21" s="13"/>
      <c r="Z21" s="13"/>
      <c r="AA21" s="13"/>
    </row>
    <row r="22" spans="1:28" x14ac:dyDescent="0.25">
      <c r="A22" s="13"/>
      <c r="B22" s="62" t="s">
        <v>48</v>
      </c>
      <c r="C22" s="57">
        <v>0</v>
      </c>
      <c r="D22" s="58">
        <v>0.35</v>
      </c>
      <c r="E22" s="59">
        <f t="shared" si="0"/>
        <v>0</v>
      </c>
      <c r="F22" s="60"/>
      <c r="G22" s="13"/>
      <c r="H22" s="13"/>
      <c r="I22" s="13"/>
      <c r="J22" s="13"/>
      <c r="K22" s="13"/>
      <c r="L22" s="13"/>
      <c r="M22" s="13"/>
      <c r="N22" s="13"/>
      <c r="O22" s="13"/>
      <c r="P22" s="15"/>
      <c r="Q22" s="15"/>
      <c r="R22" s="15"/>
      <c r="S22" s="13"/>
      <c r="T22" s="13"/>
      <c r="U22" s="13"/>
      <c r="V22" s="13"/>
      <c r="W22" s="13"/>
      <c r="X22" s="13"/>
      <c r="Y22" s="13"/>
      <c r="Z22" s="13"/>
      <c r="AA22" s="13"/>
    </row>
    <row r="23" spans="1:28" x14ac:dyDescent="0.25">
      <c r="A23" s="13"/>
      <c r="B23" s="62" t="s">
        <v>49</v>
      </c>
      <c r="C23" s="57">
        <v>0</v>
      </c>
      <c r="D23" s="58">
        <v>0.56999999999999995</v>
      </c>
      <c r="E23" s="59">
        <f t="shared" si="0"/>
        <v>0</v>
      </c>
      <c r="F23" s="60"/>
      <c r="G23" s="13"/>
      <c r="H23" s="13"/>
      <c r="I23" s="13"/>
      <c r="J23" s="13"/>
      <c r="K23" s="13"/>
      <c r="L23" s="13"/>
      <c r="M23" s="13"/>
      <c r="N23" s="13"/>
      <c r="O23" s="13"/>
      <c r="P23" s="15"/>
      <c r="Q23" s="15"/>
      <c r="R23" s="15"/>
      <c r="S23" s="13"/>
      <c r="T23" s="13"/>
      <c r="U23" s="13"/>
      <c r="V23" s="13"/>
      <c r="W23" s="13"/>
      <c r="X23" s="13"/>
      <c r="Y23" s="13"/>
      <c r="Z23" s="13"/>
      <c r="AA23" s="13"/>
    </row>
    <row r="24" spans="1:28" ht="16.5" thickBot="1" x14ac:dyDescent="0.3">
      <c r="A24" s="13"/>
      <c r="B24" s="9" t="s">
        <v>50</v>
      </c>
      <c r="C24" s="64">
        <v>0</v>
      </c>
      <c r="D24" s="45">
        <v>1.65</v>
      </c>
      <c r="E24" s="25">
        <f t="shared" si="0"/>
        <v>0</v>
      </c>
      <c r="F24" s="60"/>
      <c r="G24" s="13"/>
      <c r="H24" s="13"/>
      <c r="I24" s="13"/>
      <c r="J24" s="13"/>
      <c r="K24" s="13"/>
      <c r="L24" s="13"/>
      <c r="M24" s="13"/>
      <c r="N24" s="13"/>
      <c r="O24" s="13"/>
      <c r="P24" s="15"/>
      <c r="Q24" s="15"/>
      <c r="R24" s="15"/>
      <c r="S24" s="13"/>
      <c r="T24" s="13"/>
      <c r="U24" s="13"/>
      <c r="V24" s="13"/>
      <c r="W24" s="13"/>
      <c r="X24" s="13"/>
      <c r="Y24" s="13"/>
      <c r="Z24" s="13"/>
      <c r="AA24" s="13"/>
    </row>
    <row r="25" spans="1:28" ht="16.5" thickBo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5"/>
      <c r="Q25" s="15"/>
      <c r="R25" s="15"/>
      <c r="S25" s="13"/>
      <c r="T25" s="13"/>
      <c r="U25" s="13"/>
      <c r="V25" s="13"/>
      <c r="W25" s="13"/>
      <c r="X25" s="13"/>
      <c r="Y25" s="13"/>
      <c r="Z25" s="13"/>
      <c r="AA25" s="13"/>
    </row>
    <row r="26" spans="1:28" x14ac:dyDescent="0.25">
      <c r="A26" s="1"/>
      <c r="B26" s="52" t="s">
        <v>51</v>
      </c>
      <c r="C26" s="6" t="s">
        <v>17</v>
      </c>
      <c r="D26" s="65" t="s">
        <v>52</v>
      </c>
      <c r="E26" s="66"/>
      <c r="F26" s="66"/>
      <c r="G26" s="13"/>
      <c r="H26" s="13"/>
      <c r="I26" s="13"/>
      <c r="J26" s="13"/>
      <c r="K26" s="13"/>
      <c r="L26" s="13"/>
      <c r="M26" s="13"/>
      <c r="N26" s="13"/>
      <c r="O26" s="13"/>
      <c r="P26" s="15"/>
      <c r="Q26" s="15"/>
      <c r="R26" s="15"/>
      <c r="S26" s="13"/>
      <c r="T26" s="13"/>
      <c r="U26" s="13"/>
      <c r="V26" s="13"/>
      <c r="W26" s="13"/>
      <c r="X26" s="13"/>
      <c r="Y26" s="13"/>
      <c r="Z26" s="13"/>
    </row>
    <row r="27" spans="1:28" ht="16.5" thickBot="1" x14ac:dyDescent="0.3">
      <c r="A27" s="13"/>
      <c r="B27" s="67">
        <f>Q11</f>
        <v>1.666666666666667</v>
      </c>
      <c r="C27" s="46">
        <f>(B27/60)*(C4*60+D4)</f>
        <v>4.6388888888888902</v>
      </c>
      <c r="D27" s="65" t="s">
        <v>53</v>
      </c>
      <c r="E27" s="66"/>
      <c r="F27" s="66"/>
      <c r="G27" s="13"/>
      <c r="H27" s="13"/>
      <c r="I27" s="13"/>
      <c r="J27" s="13"/>
      <c r="K27" s="13"/>
      <c r="L27" s="13"/>
      <c r="M27" s="13"/>
      <c r="N27" s="13"/>
      <c r="O27" s="13"/>
      <c r="P27" s="15"/>
      <c r="Q27" s="15"/>
      <c r="R27" s="15"/>
      <c r="S27" s="13"/>
      <c r="T27" s="13"/>
      <c r="U27" s="13"/>
      <c r="V27" s="13"/>
      <c r="W27" s="13"/>
      <c r="X27" s="13"/>
      <c r="Y27" s="13"/>
      <c r="Z27" s="13"/>
    </row>
    <row r="28" spans="1:28" ht="16.5" thickBot="1" x14ac:dyDescent="0.3">
      <c r="A28" s="13"/>
      <c r="B28" s="60"/>
      <c r="C28" s="63"/>
      <c r="D28" s="66"/>
      <c r="E28" s="66"/>
      <c r="F28" s="66"/>
      <c r="G28" s="13"/>
      <c r="H28" s="13"/>
      <c r="I28" s="13"/>
      <c r="J28" s="13"/>
      <c r="K28" s="13"/>
      <c r="L28" s="13"/>
      <c r="M28" s="13"/>
      <c r="N28" s="13"/>
      <c r="O28" s="13"/>
      <c r="P28" s="15"/>
      <c r="Q28" s="15"/>
      <c r="R28" s="15"/>
      <c r="S28" s="13"/>
      <c r="T28" s="13"/>
      <c r="U28" s="13"/>
      <c r="V28" s="13"/>
      <c r="W28" s="13"/>
      <c r="X28" s="13"/>
      <c r="Y28" s="13"/>
      <c r="Z28" s="13"/>
    </row>
    <row r="29" spans="1:28" x14ac:dyDescent="0.25">
      <c r="A29" s="13"/>
      <c r="B29" s="52" t="s">
        <v>54</v>
      </c>
      <c r="C29" s="6" t="s">
        <v>55</v>
      </c>
      <c r="D29" s="66"/>
      <c r="E29" s="66"/>
      <c r="F29" s="66"/>
      <c r="G29" s="13"/>
      <c r="H29" s="13"/>
      <c r="I29" s="13"/>
      <c r="J29" s="13"/>
      <c r="K29" s="13"/>
      <c r="L29" s="13"/>
      <c r="M29" s="13"/>
      <c r="N29" s="60"/>
      <c r="O29" s="13"/>
      <c r="P29" s="15"/>
      <c r="Q29" s="15"/>
      <c r="R29" s="15"/>
      <c r="S29" s="13"/>
      <c r="T29" s="13"/>
      <c r="U29" s="13"/>
      <c r="V29" s="13"/>
      <c r="W29" s="13"/>
      <c r="X29" s="13"/>
      <c r="Y29" s="13"/>
      <c r="Z29" s="13"/>
    </row>
    <row r="30" spans="1:28" ht="16.5" thickBot="1" x14ac:dyDescent="0.3">
      <c r="A30" s="13"/>
      <c r="B30" s="67">
        <v>0.11</v>
      </c>
      <c r="C30" s="46">
        <f>(B30/60)*(C4*60+D4)</f>
        <v>0.30616666666666664</v>
      </c>
      <c r="D30" s="66" t="s">
        <v>56</v>
      </c>
      <c r="E30" s="66"/>
      <c r="F30" s="66"/>
      <c r="G30" s="13"/>
      <c r="H30" s="13"/>
      <c r="I30" s="13"/>
      <c r="J30" s="13"/>
      <c r="K30" s="13"/>
      <c r="L30" s="13"/>
      <c r="M30" s="13"/>
      <c r="N30" s="13"/>
      <c r="O30" s="13"/>
      <c r="P30" s="15"/>
      <c r="Q30" s="15"/>
      <c r="R30" s="15"/>
      <c r="S30" s="13"/>
      <c r="T30" s="13"/>
      <c r="U30" s="13"/>
      <c r="V30" s="13"/>
      <c r="W30" s="13"/>
      <c r="X30" s="13"/>
      <c r="Y30" s="13"/>
      <c r="Z30" s="13"/>
    </row>
    <row r="31" spans="1:28" ht="16.5" thickBot="1" x14ac:dyDescent="0.3">
      <c r="A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5"/>
      <c r="Q31" s="15"/>
      <c r="R31" s="15"/>
      <c r="S31" s="13"/>
      <c r="T31" s="13"/>
      <c r="U31" s="13"/>
      <c r="V31" s="13"/>
      <c r="W31" s="13"/>
      <c r="X31" s="13"/>
      <c r="Y31" s="13"/>
      <c r="Z31" s="13"/>
      <c r="AA31" s="13"/>
    </row>
    <row r="32" spans="1:28" x14ac:dyDescent="0.25">
      <c r="A32" s="13"/>
      <c r="B32" s="52" t="s">
        <v>57</v>
      </c>
      <c r="C32" s="22" t="s">
        <v>58</v>
      </c>
      <c r="D32" s="6" t="s">
        <v>59</v>
      </c>
      <c r="E32" s="68" t="s">
        <v>60</v>
      </c>
      <c r="F32" s="69"/>
      <c r="G32" s="69"/>
      <c r="H32" s="13"/>
      <c r="I32" s="13"/>
      <c r="J32" s="13"/>
      <c r="K32" s="13"/>
      <c r="L32" s="13"/>
      <c r="M32" s="13"/>
      <c r="N32" s="13"/>
      <c r="O32" s="13"/>
      <c r="P32" s="15"/>
      <c r="Q32" s="15"/>
      <c r="R32" s="15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6.5" thickBot="1" x14ac:dyDescent="0.3">
      <c r="A33" s="13"/>
      <c r="B33" s="9">
        <v>24960</v>
      </c>
      <c r="C33" s="70">
        <v>4900</v>
      </c>
      <c r="D33" s="25">
        <f>(C33/(B33*60))*(C4*60+D4)</f>
        <v>0.5464075854700855</v>
      </c>
      <c r="E33" s="68"/>
      <c r="F33" s="69"/>
      <c r="G33" s="69"/>
      <c r="H33" s="13"/>
      <c r="I33" s="13"/>
      <c r="J33" s="13"/>
      <c r="K33" s="13"/>
      <c r="L33" s="13"/>
      <c r="M33" s="13"/>
      <c r="N33" s="13"/>
      <c r="O33" s="13"/>
      <c r="P33" s="15"/>
      <c r="Q33" s="15"/>
      <c r="R33" s="15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6.5" thickBo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5"/>
      <c r="Q34" s="15"/>
      <c r="R34" s="15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71"/>
      <c r="B35" s="72" t="s">
        <v>61</v>
      </c>
      <c r="C35" s="13"/>
      <c r="D35" s="13"/>
      <c r="E35" s="13"/>
      <c r="F35" s="13"/>
      <c r="G35" s="66"/>
      <c r="H35" s="13"/>
      <c r="I35" s="13"/>
      <c r="J35" s="13"/>
      <c r="K35" s="13"/>
      <c r="L35" s="13"/>
      <c r="M35" s="13"/>
      <c r="N35" s="13"/>
      <c r="O35" s="13"/>
      <c r="P35" s="15"/>
      <c r="Q35" s="15"/>
      <c r="R35" s="15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6.5" thickBot="1" x14ac:dyDescent="0.3">
      <c r="A36" s="13"/>
      <c r="B36" s="73">
        <v>0.15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5"/>
      <c r="Q36" s="15"/>
      <c r="R36" s="15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5"/>
      <c r="Q37" s="15"/>
      <c r="R37" s="15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5"/>
      <c r="Q38" s="15"/>
      <c r="R38" s="15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5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5"/>
      <c r="Q40" s="15"/>
      <c r="R40" s="15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5"/>
      <c r="Q41" s="15"/>
      <c r="R41" s="15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5"/>
      <c r="Q42" s="15"/>
      <c r="R42" s="15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5"/>
      <c r="Q43" s="15"/>
      <c r="R43" s="15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5"/>
      <c r="Q44" s="15"/>
      <c r="R44" s="15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5"/>
      <c r="Q45" s="15"/>
      <c r="R45" s="15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5"/>
      <c r="Q46" s="15"/>
      <c r="R46" s="15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5"/>
      <c r="Q47" s="15"/>
      <c r="R47" s="15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5"/>
      <c r="Q48" s="15"/>
      <c r="R48" s="15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5"/>
      <c r="Q49" s="15"/>
      <c r="R49" s="15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5"/>
      <c r="Q50" s="15"/>
      <c r="R50" s="15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5"/>
      <c r="Q52" s="15"/>
      <c r="R52" s="15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5"/>
      <c r="Q53" s="15"/>
      <c r="R53" s="15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5"/>
      <c r="Q54" s="15"/>
      <c r="R54" s="15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5"/>
      <c r="Q55" s="15"/>
      <c r="R55" s="15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5"/>
      <c r="Q56" s="15"/>
      <c r="R56" s="15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5"/>
      <c r="Q57" s="15"/>
      <c r="R57" s="15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5"/>
      <c r="Q58" s="15"/>
      <c r="R58" s="15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5"/>
      <c r="Q59" s="15"/>
      <c r="R59" s="15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5"/>
      <c r="Q60" s="15"/>
      <c r="R60" s="15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5"/>
      <c r="Q61" s="15"/>
      <c r="R61" s="15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5"/>
      <c r="Q62" s="15"/>
      <c r="R62" s="15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5"/>
      <c r="Q63" s="15"/>
      <c r="R63" s="15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5"/>
      <c r="Q64" s="15"/>
      <c r="R64" s="15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5"/>
      <c r="Q65" s="15"/>
      <c r="R65" s="15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5"/>
      <c r="Q66" s="15"/>
      <c r="R66" s="15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5"/>
      <c r="Q67" s="15"/>
      <c r="R67" s="15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5"/>
      <c r="Q68" s="15"/>
      <c r="R68" s="15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5"/>
      <c r="Q69" s="15"/>
      <c r="R69" s="15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5"/>
      <c r="Q70" s="15"/>
      <c r="R70" s="15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5"/>
      <c r="Q71" s="15"/>
      <c r="R71" s="15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5"/>
      <c r="Q72" s="15"/>
      <c r="R72" s="15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5"/>
      <c r="Q73" s="15"/>
      <c r="R73" s="15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5"/>
      <c r="Q74" s="15"/>
      <c r="R74" s="15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5"/>
      <c r="Q75" s="15"/>
      <c r="R75" s="15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5"/>
      <c r="Q76" s="15"/>
      <c r="R76" s="15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5"/>
      <c r="Q77" s="15"/>
      <c r="R77" s="15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5"/>
      <c r="Q78" s="15"/>
      <c r="R78" s="15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5"/>
      <c r="Q79" s="15"/>
      <c r="R79" s="15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5"/>
      <c r="Q80" s="15"/>
      <c r="R80" s="15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5"/>
      <c r="Q81" s="15"/>
      <c r="R81" s="15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5"/>
      <c r="Q82" s="15"/>
      <c r="R82" s="15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5"/>
      <c r="Q83" s="15"/>
      <c r="R83" s="15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5"/>
      <c r="Q84" s="15"/>
      <c r="R84" s="15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5"/>
      <c r="Q85" s="15"/>
      <c r="R85" s="15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5"/>
      <c r="Q86" s="15"/>
      <c r="R86" s="15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5"/>
      <c r="Q87" s="15"/>
      <c r="R87" s="15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5"/>
      <c r="Q88" s="15"/>
      <c r="R88" s="15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5"/>
      <c r="Q89" s="15"/>
      <c r="R89" s="15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5"/>
      <c r="Q90" s="15"/>
      <c r="R90" s="15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5"/>
      <c r="Q91" s="15"/>
      <c r="R91" s="15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5"/>
      <c r="Q92" s="15"/>
      <c r="R92" s="15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5"/>
      <c r="Q93" s="15"/>
      <c r="R93" s="15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5"/>
      <c r="Q94" s="15"/>
      <c r="R94" s="15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5"/>
      <c r="Q95" s="15"/>
      <c r="R95" s="15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5"/>
      <c r="Q96" s="15"/>
      <c r="R96" s="15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5"/>
      <c r="Q97" s="15"/>
      <c r="R97" s="15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5"/>
      <c r="Q98" s="15"/>
      <c r="R98" s="15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5"/>
      <c r="Q99" s="15"/>
      <c r="R99" s="15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5"/>
      <c r="Q100" s="15"/>
      <c r="R100" s="15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5"/>
      <c r="Q101" s="15"/>
      <c r="R101" s="15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5"/>
      <c r="Q102" s="15"/>
      <c r="R102" s="15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5"/>
      <c r="Q103" s="15"/>
      <c r="R103" s="15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5"/>
      <c r="Q104" s="15"/>
      <c r="R104" s="15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5"/>
      <c r="Q105" s="15"/>
      <c r="R105" s="15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5"/>
      <c r="Q106" s="15"/>
      <c r="R106" s="15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5"/>
      <c r="Q107" s="15"/>
      <c r="R107" s="15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5"/>
      <c r="Q108" s="15"/>
      <c r="R108" s="15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5"/>
      <c r="Q109" s="15"/>
      <c r="R109" s="15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5"/>
      <c r="Q110" s="15"/>
      <c r="R110" s="15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5"/>
      <c r="Q111" s="15"/>
      <c r="R111" s="15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5"/>
      <c r="Q112" s="15"/>
      <c r="R112" s="15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5"/>
      <c r="Q113" s="15"/>
      <c r="R113" s="15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5"/>
      <c r="Q114" s="15"/>
      <c r="R114" s="15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5"/>
      <c r="Q115" s="15"/>
      <c r="R115" s="15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5"/>
      <c r="Q116" s="15"/>
      <c r="R116" s="15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5"/>
      <c r="Q117" s="15"/>
      <c r="R117" s="15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5"/>
      <c r="Q118" s="15"/>
      <c r="R118" s="15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5"/>
      <c r="Q119" s="15"/>
      <c r="R119" s="15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5"/>
      <c r="Q120" s="15"/>
      <c r="R120" s="15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5"/>
      <c r="Q121" s="15"/>
      <c r="R121" s="15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5"/>
      <c r="Q122" s="15"/>
      <c r="R122" s="15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5"/>
      <c r="Q123" s="15"/>
      <c r="R123" s="15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5"/>
      <c r="Q124" s="15"/>
      <c r="R124" s="15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5"/>
      <c r="Q125" s="15"/>
      <c r="R125" s="15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5"/>
      <c r="Q126" s="15"/>
      <c r="R126" s="15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5"/>
      <c r="Q127" s="15"/>
      <c r="R127" s="15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5"/>
      <c r="Q128" s="15"/>
      <c r="R128" s="15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5"/>
      <c r="Q129" s="15"/>
      <c r="R129" s="15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5"/>
      <c r="Q130" s="15"/>
      <c r="R130" s="15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5"/>
      <c r="Q131" s="15"/>
      <c r="R131" s="15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5"/>
      <c r="Q132" s="15"/>
      <c r="R132" s="15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5"/>
      <c r="Q133" s="15"/>
      <c r="R133" s="15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5"/>
      <c r="Q134" s="15"/>
      <c r="R134" s="15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5"/>
      <c r="Q135" s="15"/>
      <c r="R135" s="15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5"/>
      <c r="Q136" s="15"/>
      <c r="R136" s="15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5"/>
      <c r="Q137" s="15"/>
      <c r="R137" s="15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5"/>
      <c r="Q138" s="15"/>
      <c r="R138" s="15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5"/>
      <c r="Q139" s="15"/>
      <c r="R139" s="15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5"/>
      <c r="Q140" s="15"/>
      <c r="R140" s="15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5"/>
      <c r="Q141" s="15"/>
      <c r="R141" s="15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5"/>
      <c r="Q142" s="15"/>
      <c r="R142" s="15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5"/>
      <c r="Q143" s="15"/>
      <c r="R143" s="15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5"/>
      <c r="Q144" s="15"/>
      <c r="R144" s="15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5"/>
      <c r="Q145" s="15"/>
      <c r="R145" s="15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5"/>
      <c r="Q146" s="15"/>
      <c r="R146" s="15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5"/>
      <c r="Q147" s="15"/>
      <c r="R147" s="15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5"/>
      <c r="Q148" s="15"/>
      <c r="R148" s="15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5"/>
      <c r="Q149" s="15"/>
      <c r="R149" s="15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5"/>
      <c r="Q150" s="15"/>
      <c r="R150" s="15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5"/>
      <c r="Q151" s="15"/>
      <c r="R151" s="15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5"/>
      <c r="Q152" s="15"/>
      <c r="R152" s="15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5"/>
      <c r="Q153" s="15"/>
      <c r="R153" s="15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5"/>
      <c r="Q154" s="15"/>
      <c r="R154" s="15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5"/>
      <c r="Q155" s="15"/>
      <c r="R155" s="15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5"/>
      <c r="Q156" s="15"/>
      <c r="R156" s="15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5"/>
      <c r="Q157" s="15"/>
      <c r="R157" s="15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5"/>
      <c r="Q158" s="15"/>
      <c r="R158" s="15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5"/>
      <c r="Q159" s="15"/>
      <c r="R159" s="15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5"/>
      <c r="Q160" s="15"/>
      <c r="R160" s="15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5"/>
      <c r="Q161" s="15"/>
      <c r="R161" s="15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5"/>
      <c r="Q162" s="15"/>
      <c r="R162" s="15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5"/>
      <c r="Q163" s="15"/>
      <c r="R163" s="15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5"/>
      <c r="Q164" s="15"/>
      <c r="R164" s="15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5"/>
      <c r="Q165" s="15"/>
      <c r="R165" s="15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5"/>
      <c r="Q166" s="15"/>
      <c r="R166" s="15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5"/>
      <c r="Q167" s="15"/>
      <c r="R167" s="15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5"/>
      <c r="Q168" s="15"/>
      <c r="R168" s="15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5"/>
      <c r="Q169" s="15"/>
      <c r="R169" s="15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5"/>
      <c r="Q170" s="15"/>
      <c r="R170" s="15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5"/>
      <c r="Q171" s="15"/>
      <c r="R171" s="15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5"/>
      <c r="Q172" s="15"/>
      <c r="R172" s="15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5"/>
      <c r="Q173" s="15"/>
      <c r="R173" s="15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5"/>
      <c r="Q174" s="15"/>
      <c r="R174" s="15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5"/>
      <c r="Q175" s="15"/>
      <c r="R175" s="15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5"/>
      <c r="Q176" s="15"/>
      <c r="R176" s="15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5"/>
      <c r="Q177" s="15"/>
      <c r="R177" s="15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5"/>
      <c r="Q178" s="15"/>
      <c r="R178" s="15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5"/>
      <c r="Q179" s="15"/>
      <c r="R179" s="15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5"/>
      <c r="Q180" s="15"/>
      <c r="R180" s="15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5"/>
      <c r="Q181" s="15"/>
      <c r="R181" s="15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5"/>
      <c r="Q182" s="15"/>
      <c r="R182" s="15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5"/>
      <c r="Q183" s="15"/>
      <c r="R183" s="15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5"/>
      <c r="Q184" s="15"/>
      <c r="R184" s="15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5"/>
      <c r="Q185" s="15"/>
      <c r="R185" s="15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5"/>
      <c r="Q186" s="15"/>
      <c r="R186" s="15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5"/>
      <c r="Q187" s="15"/>
      <c r="R187" s="15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5"/>
      <c r="Q188" s="15"/>
      <c r="R188" s="15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5"/>
      <c r="Q189" s="15"/>
      <c r="R189" s="15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5"/>
      <c r="Q190" s="15"/>
      <c r="R190" s="15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5"/>
      <c r="Q191" s="15"/>
      <c r="R191" s="15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5"/>
      <c r="Q192" s="15"/>
      <c r="R192" s="15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5"/>
      <c r="Q193" s="15"/>
      <c r="R193" s="15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5"/>
      <c r="Q194" s="15"/>
      <c r="R194" s="15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5"/>
      <c r="Q195" s="15"/>
      <c r="R195" s="15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5"/>
      <c r="Q196" s="15"/>
      <c r="R196" s="15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5"/>
      <c r="Q197" s="15"/>
      <c r="R197" s="15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5"/>
      <c r="Q198" s="15"/>
      <c r="R198" s="15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5"/>
      <c r="Q199" s="15"/>
      <c r="R199" s="15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5"/>
      <c r="Q200" s="15"/>
      <c r="R200" s="15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5"/>
      <c r="Q201" s="15"/>
      <c r="R201" s="15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5"/>
      <c r="Q202" s="15"/>
      <c r="R202" s="15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5"/>
      <c r="Q203" s="15"/>
      <c r="R203" s="15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5"/>
      <c r="Q204" s="15"/>
      <c r="R204" s="15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5"/>
      <c r="Q205" s="15"/>
      <c r="R205" s="15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5"/>
      <c r="Q206" s="15"/>
      <c r="R206" s="15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5"/>
      <c r="Q207" s="15"/>
      <c r="R207" s="15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5"/>
      <c r="Q208" s="15"/>
      <c r="R208" s="15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5"/>
      <c r="Q209" s="15"/>
      <c r="R209" s="15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5"/>
      <c r="Q210" s="15"/>
      <c r="R210" s="15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5"/>
      <c r="Q211" s="15"/>
      <c r="R211" s="15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5"/>
      <c r="Q212" s="15"/>
      <c r="R212" s="15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5"/>
      <c r="Q213" s="15"/>
      <c r="R213" s="15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5"/>
      <c r="Q214" s="15"/>
      <c r="R214" s="15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5"/>
      <c r="Q215" s="15"/>
      <c r="R215" s="15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5"/>
      <c r="Q216" s="15"/>
      <c r="R216" s="15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5"/>
      <c r="Q217" s="15"/>
      <c r="R217" s="15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5"/>
      <c r="Q218" s="15"/>
      <c r="R218" s="15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5"/>
      <c r="Q219" s="15"/>
      <c r="R219" s="15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5"/>
      <c r="Q220" s="15"/>
      <c r="R220" s="15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5"/>
      <c r="Q221" s="15"/>
      <c r="R221" s="15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5"/>
      <c r="Q222" s="15"/>
      <c r="R222" s="15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5"/>
      <c r="Q223" s="15"/>
      <c r="R223" s="15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5"/>
      <c r="Q224" s="15"/>
      <c r="R224" s="15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5"/>
      <c r="Q225" s="15"/>
      <c r="R225" s="15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5"/>
      <c r="Q226" s="15"/>
      <c r="R226" s="15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5"/>
      <c r="Q227" s="15"/>
      <c r="R227" s="15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5"/>
      <c r="Q228" s="15"/>
      <c r="R228" s="15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5"/>
      <c r="Q229" s="15"/>
      <c r="R229" s="15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5"/>
      <c r="Q230" s="15"/>
      <c r="R230" s="15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5"/>
      <c r="Q231" s="15"/>
      <c r="R231" s="15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5"/>
      <c r="Q232" s="15"/>
      <c r="R232" s="15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5"/>
      <c r="Q233" s="15"/>
      <c r="R233" s="15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5"/>
      <c r="Q234" s="15"/>
      <c r="R234" s="15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5"/>
      <c r="Q235" s="15"/>
      <c r="R235" s="15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5"/>
      <c r="Q236" s="15"/>
      <c r="R236" s="15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5"/>
      <c r="Q237" s="15"/>
      <c r="R237" s="15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5"/>
      <c r="Q238" s="15"/>
      <c r="R238" s="15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5"/>
      <c r="Q239" s="15"/>
      <c r="R239" s="15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5"/>
      <c r="Q240" s="15"/>
      <c r="R240" s="15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5"/>
      <c r="Q241" s="15"/>
      <c r="R241" s="15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5"/>
      <c r="Q242" s="15"/>
      <c r="R242" s="15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5"/>
      <c r="Q243" s="15"/>
      <c r="R243" s="15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5"/>
      <c r="Q244" s="15"/>
      <c r="R244" s="15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5"/>
      <c r="Q245" s="15"/>
      <c r="R245" s="15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5"/>
      <c r="Q246" s="15"/>
      <c r="R246" s="15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5"/>
      <c r="Q247" s="15"/>
      <c r="R247" s="15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5"/>
      <c r="Q248" s="15"/>
      <c r="R248" s="15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5"/>
      <c r="Q249" s="15"/>
      <c r="R249" s="15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5"/>
      <c r="Q250" s="15"/>
      <c r="R250" s="15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5"/>
      <c r="Q251" s="15"/>
      <c r="R251" s="15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5"/>
      <c r="Q252" s="15"/>
      <c r="R252" s="15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5"/>
      <c r="Q253" s="15"/>
      <c r="R253" s="15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5"/>
      <c r="Q254" s="15"/>
      <c r="R254" s="15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5"/>
      <c r="Q255" s="15"/>
      <c r="R255" s="15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5"/>
      <c r="Q256" s="15"/>
      <c r="R256" s="15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5"/>
      <c r="Q257" s="15"/>
      <c r="R257" s="15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5"/>
      <c r="Q258" s="15"/>
      <c r="R258" s="15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5"/>
      <c r="Q259" s="15"/>
      <c r="R259" s="15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5"/>
      <c r="Q260" s="15"/>
      <c r="R260" s="15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5"/>
      <c r="Q261" s="15"/>
      <c r="R261" s="15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5"/>
      <c r="Q262" s="15"/>
      <c r="R262" s="15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5"/>
      <c r="Q263" s="15"/>
      <c r="R263" s="15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5"/>
      <c r="Q264" s="15"/>
      <c r="R264" s="15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5"/>
      <c r="Q265" s="15"/>
      <c r="R265" s="15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5"/>
      <c r="Q266" s="15"/>
      <c r="R266" s="15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5"/>
      <c r="Q267" s="15"/>
      <c r="R267" s="15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5"/>
      <c r="Q268" s="15"/>
      <c r="R268" s="15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5"/>
      <c r="Q269" s="15"/>
      <c r="R269" s="15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5"/>
      <c r="Q270" s="15"/>
      <c r="R270" s="15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5"/>
      <c r="Q271" s="15"/>
      <c r="R271" s="15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5"/>
      <c r="Q272" s="15"/>
      <c r="R272" s="15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5"/>
      <c r="Q273" s="15"/>
      <c r="R273" s="15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5"/>
      <c r="Q274" s="15"/>
      <c r="R274" s="15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5"/>
      <c r="Q275" s="15"/>
      <c r="R275" s="15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5"/>
      <c r="Q276" s="15"/>
      <c r="R276" s="15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5"/>
      <c r="Q277" s="15"/>
      <c r="R277" s="15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5"/>
      <c r="Q278" s="15"/>
      <c r="R278" s="15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5"/>
      <c r="Q279" s="15"/>
      <c r="R279" s="15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5"/>
      <c r="Q280" s="15"/>
      <c r="R280" s="15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5"/>
      <c r="Q281" s="15"/>
      <c r="R281" s="15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5"/>
      <c r="Q282" s="15"/>
      <c r="R282" s="15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5"/>
      <c r="Q283" s="15"/>
      <c r="R283" s="15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5"/>
      <c r="Q284" s="15"/>
      <c r="R284" s="15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5"/>
      <c r="Q285" s="15"/>
      <c r="R285" s="15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5"/>
      <c r="Q286" s="15"/>
      <c r="R286" s="15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5"/>
      <c r="Q287" s="15"/>
      <c r="R287" s="15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5"/>
      <c r="Q288" s="15"/>
      <c r="R288" s="15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5"/>
      <c r="Q289" s="15"/>
      <c r="R289" s="15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5"/>
      <c r="Q290" s="15"/>
      <c r="R290" s="15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5"/>
      <c r="Q291" s="15"/>
      <c r="R291" s="15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5"/>
      <c r="Q292" s="15"/>
      <c r="R292" s="15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5"/>
      <c r="Q293" s="15"/>
      <c r="R293" s="15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5"/>
      <c r="Q294" s="15"/>
      <c r="R294" s="15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5"/>
      <c r="Q295" s="15"/>
      <c r="R295" s="15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5"/>
      <c r="Q296" s="15"/>
      <c r="R296" s="15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5"/>
      <c r="Q297" s="15"/>
      <c r="R297" s="15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5"/>
      <c r="Q298" s="15"/>
      <c r="R298" s="15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5"/>
      <c r="Q299" s="15"/>
      <c r="R299" s="15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5"/>
      <c r="Q300" s="15"/>
      <c r="R300" s="15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5"/>
      <c r="Q301" s="15"/>
      <c r="R301" s="15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5"/>
      <c r="Q302" s="15"/>
      <c r="R302" s="15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5"/>
      <c r="Q303" s="15"/>
      <c r="R303" s="15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5"/>
      <c r="Q304" s="15"/>
      <c r="R304" s="15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5"/>
      <c r="Q305" s="15"/>
      <c r="R305" s="15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5"/>
      <c r="Q306" s="15"/>
      <c r="R306" s="15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5"/>
      <c r="Q307" s="15"/>
      <c r="R307" s="15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5"/>
      <c r="Q308" s="15"/>
      <c r="R308" s="15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5"/>
      <c r="Q309" s="15"/>
      <c r="R309" s="15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5"/>
      <c r="Q310" s="15"/>
      <c r="R310" s="15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5"/>
      <c r="Q311" s="15"/>
      <c r="R311" s="15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5"/>
      <c r="Q312" s="15"/>
      <c r="R312" s="15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5"/>
      <c r="Q313" s="15"/>
      <c r="R313" s="15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5"/>
      <c r="Q314" s="15"/>
      <c r="R314" s="15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5"/>
      <c r="Q315" s="15"/>
      <c r="R315" s="15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5"/>
      <c r="Q316" s="15"/>
      <c r="R316" s="15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5"/>
      <c r="Q317" s="15"/>
      <c r="R317" s="15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5"/>
      <c r="Q318" s="15"/>
      <c r="R318" s="15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5"/>
      <c r="Q319" s="15"/>
      <c r="R319" s="15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5"/>
      <c r="Q320" s="15"/>
      <c r="R320" s="15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5"/>
      <c r="Q321" s="15"/>
      <c r="R321" s="15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5"/>
      <c r="Q322" s="15"/>
      <c r="R322" s="15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5"/>
      <c r="Q323" s="15"/>
      <c r="R323" s="15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5"/>
      <c r="Q324" s="15"/>
      <c r="R324" s="15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5"/>
      <c r="Q325" s="15"/>
      <c r="R325" s="15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5"/>
      <c r="Q326" s="15"/>
      <c r="R326" s="15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5"/>
      <c r="Q327" s="15"/>
      <c r="R327" s="15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5"/>
      <c r="Q328" s="15"/>
      <c r="R328" s="15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5"/>
      <c r="Q329" s="15"/>
      <c r="R329" s="15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5"/>
      <c r="Q330" s="15"/>
      <c r="R330" s="15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5"/>
      <c r="Q331" s="15"/>
      <c r="R331" s="15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5"/>
      <c r="Q332" s="15"/>
      <c r="R332" s="15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5"/>
      <c r="Q333" s="15"/>
      <c r="R333" s="15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5"/>
      <c r="Q334" s="15"/>
      <c r="R334" s="15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5"/>
      <c r="Q335" s="15"/>
      <c r="R335" s="15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5"/>
      <c r="Q336" s="15"/>
      <c r="R336" s="15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5"/>
      <c r="Q337" s="15"/>
      <c r="R337" s="15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5"/>
      <c r="Q338" s="15"/>
      <c r="R338" s="15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5"/>
      <c r="Q339" s="15"/>
      <c r="R339" s="15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5"/>
      <c r="Q340" s="15"/>
      <c r="R340" s="15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5"/>
      <c r="Q341" s="15"/>
      <c r="R341" s="15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5"/>
      <c r="Q342" s="15"/>
      <c r="R342" s="15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5"/>
      <c r="Q343" s="15"/>
      <c r="R343" s="15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5"/>
      <c r="Q344" s="15"/>
      <c r="R344" s="15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5"/>
      <c r="Q345" s="15"/>
      <c r="R345" s="15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5"/>
      <c r="Q346" s="15"/>
      <c r="R346" s="15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5"/>
      <c r="Q347" s="15"/>
      <c r="R347" s="15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5"/>
      <c r="Q348" s="15"/>
      <c r="R348" s="15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5"/>
      <c r="Q349" s="15"/>
      <c r="R349" s="15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5"/>
      <c r="Q350" s="15"/>
      <c r="R350" s="15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5"/>
      <c r="Q351" s="15"/>
      <c r="R351" s="15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5"/>
      <c r="Q352" s="15"/>
      <c r="R352" s="15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5"/>
      <c r="Q353" s="15"/>
      <c r="R353" s="15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5"/>
      <c r="Q354" s="15"/>
      <c r="R354" s="15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5"/>
      <c r="Q355" s="15"/>
      <c r="R355" s="15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5"/>
      <c r="Q356" s="15"/>
      <c r="R356" s="15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5"/>
      <c r="Q357" s="15"/>
      <c r="R357" s="15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5"/>
      <c r="Q358" s="15"/>
      <c r="R358" s="15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5"/>
      <c r="Q359" s="15"/>
      <c r="R359" s="15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5"/>
      <c r="Q360" s="15"/>
      <c r="R360" s="15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5"/>
      <c r="Q361" s="15"/>
      <c r="R361" s="15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5"/>
      <c r="Q362" s="15"/>
      <c r="R362" s="15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5"/>
      <c r="Q363" s="15"/>
      <c r="R363" s="15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5"/>
      <c r="Q364" s="15"/>
      <c r="R364" s="15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5"/>
      <c r="Q365" s="15"/>
      <c r="R365" s="15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5"/>
      <c r="Q366" s="15"/>
      <c r="R366" s="15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5"/>
      <c r="Q367" s="15"/>
      <c r="R367" s="15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5"/>
      <c r="Q368" s="15"/>
      <c r="R368" s="15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5"/>
      <c r="Q369" s="15"/>
      <c r="R369" s="15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5"/>
      <c r="Q370" s="15"/>
      <c r="R370" s="15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5"/>
      <c r="Q371" s="15"/>
      <c r="R371" s="15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5"/>
      <c r="Q372" s="15"/>
      <c r="R372" s="15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5"/>
      <c r="Q373" s="15"/>
      <c r="R373" s="15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5"/>
      <c r="Q374" s="15"/>
      <c r="R374" s="15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5"/>
      <c r="Q375" s="15"/>
      <c r="R375" s="15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5"/>
      <c r="Q376" s="15"/>
      <c r="R376" s="15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5"/>
      <c r="Q377" s="15"/>
      <c r="R377" s="15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5"/>
      <c r="Q378" s="15"/>
      <c r="R378" s="15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5"/>
      <c r="Q379" s="15"/>
      <c r="R379" s="15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5"/>
      <c r="Q380" s="15"/>
      <c r="R380" s="15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5"/>
      <c r="Q381" s="15"/>
      <c r="R381" s="15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5"/>
      <c r="Q382" s="15"/>
      <c r="R382" s="15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5"/>
      <c r="Q383" s="15"/>
      <c r="R383" s="15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5"/>
      <c r="Q384" s="15"/>
      <c r="R384" s="15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5"/>
      <c r="Q385" s="15"/>
      <c r="R385" s="15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5"/>
      <c r="Q386" s="15"/>
      <c r="R386" s="15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5"/>
      <c r="Q387" s="15"/>
      <c r="R387" s="15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5"/>
      <c r="Q388" s="15"/>
      <c r="R388" s="15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5"/>
      <c r="Q389" s="15"/>
      <c r="R389" s="15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5"/>
      <c r="Q390" s="15"/>
      <c r="R390" s="15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5"/>
      <c r="Q391" s="15"/>
      <c r="R391" s="15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5"/>
      <c r="Q392" s="15"/>
      <c r="R392" s="15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5"/>
      <c r="Q393" s="15"/>
      <c r="R393" s="15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5"/>
      <c r="Q394" s="15"/>
      <c r="R394" s="15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5"/>
      <c r="Q395" s="15"/>
      <c r="R395" s="15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5"/>
      <c r="Q396" s="15"/>
      <c r="R396" s="15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5"/>
      <c r="Q397" s="15"/>
      <c r="R397" s="15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5"/>
      <c r="Q398" s="15"/>
      <c r="R398" s="15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5"/>
      <c r="Q399" s="15"/>
      <c r="R399" s="15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5"/>
      <c r="Q400" s="15"/>
      <c r="R400" s="15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5"/>
      <c r="Q401" s="15"/>
      <c r="R401" s="15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5"/>
      <c r="Q402" s="15"/>
      <c r="R402" s="15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5"/>
      <c r="Q403" s="15"/>
      <c r="R403" s="15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5"/>
      <c r="Q404" s="15"/>
      <c r="R404" s="15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5"/>
      <c r="Q405" s="15"/>
      <c r="R405" s="15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5"/>
      <c r="Q406" s="15"/>
      <c r="R406" s="15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5"/>
      <c r="Q407" s="15"/>
      <c r="R407" s="15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5"/>
      <c r="Q408" s="15"/>
      <c r="R408" s="15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5"/>
      <c r="Q409" s="15"/>
      <c r="R409" s="15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5"/>
      <c r="Q410" s="15"/>
      <c r="R410" s="15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5"/>
      <c r="Q411" s="15"/>
      <c r="R411" s="15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5"/>
      <c r="Q412" s="15"/>
      <c r="R412" s="15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5"/>
      <c r="Q413" s="15"/>
      <c r="R413" s="15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5"/>
      <c r="Q414" s="15"/>
      <c r="R414" s="15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5"/>
      <c r="Q415" s="15"/>
      <c r="R415" s="15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5"/>
      <c r="Q416" s="15"/>
      <c r="R416" s="15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5"/>
      <c r="Q417" s="15"/>
      <c r="R417" s="15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5"/>
      <c r="Q418" s="15"/>
      <c r="R418" s="15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5"/>
      <c r="Q419" s="15"/>
      <c r="R419" s="15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5"/>
      <c r="Q420" s="15"/>
      <c r="R420" s="15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5"/>
      <c r="Q421" s="15"/>
      <c r="R421" s="15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5"/>
      <c r="Q422" s="15"/>
      <c r="R422" s="15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5"/>
      <c r="Q423" s="15"/>
      <c r="R423" s="15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5"/>
      <c r="Q424" s="15"/>
      <c r="R424" s="15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5"/>
      <c r="Q425" s="15"/>
      <c r="R425" s="15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5"/>
      <c r="Q426" s="15"/>
      <c r="R426" s="15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5"/>
      <c r="Q427" s="15"/>
      <c r="R427" s="15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5"/>
      <c r="Q428" s="15"/>
      <c r="R428" s="15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5"/>
      <c r="Q429" s="15"/>
      <c r="R429" s="15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5"/>
      <c r="Q430" s="15"/>
      <c r="R430" s="15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5"/>
      <c r="Q431" s="15"/>
      <c r="R431" s="15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5"/>
      <c r="Q432" s="15"/>
      <c r="R432" s="15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5"/>
      <c r="Q433" s="15"/>
      <c r="R433" s="15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5"/>
      <c r="Q434" s="15"/>
      <c r="R434" s="15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5"/>
      <c r="Q435" s="15"/>
      <c r="R435" s="15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5"/>
      <c r="Q436" s="15"/>
      <c r="R436" s="15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5"/>
      <c r="Q437" s="15"/>
      <c r="R437" s="15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5"/>
      <c r="Q438" s="15"/>
      <c r="R438" s="15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5"/>
      <c r="Q439" s="15"/>
      <c r="R439" s="15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5"/>
      <c r="Q440" s="15"/>
      <c r="R440" s="15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5"/>
      <c r="Q441" s="15"/>
      <c r="R441" s="15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5"/>
      <c r="Q442" s="15"/>
      <c r="R442" s="15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5"/>
      <c r="Q443" s="15"/>
      <c r="R443" s="15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5"/>
      <c r="Q444" s="15"/>
      <c r="R444" s="15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5"/>
      <c r="Q445" s="15"/>
      <c r="R445" s="15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5"/>
      <c r="Q446" s="15"/>
      <c r="R446" s="15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5"/>
      <c r="Q447" s="15"/>
      <c r="R447" s="15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5"/>
      <c r="Q448" s="15"/>
      <c r="R448" s="15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5"/>
      <c r="Q449" s="15"/>
      <c r="R449" s="15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5"/>
      <c r="Q450" s="15"/>
      <c r="R450" s="15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5"/>
      <c r="Q451" s="15"/>
      <c r="R451" s="15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5"/>
      <c r="Q452" s="15"/>
      <c r="R452" s="15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5"/>
      <c r="Q453" s="15"/>
      <c r="R453" s="15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5"/>
      <c r="Q454" s="15"/>
      <c r="R454" s="15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5"/>
      <c r="Q455" s="15"/>
      <c r="R455" s="15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5"/>
      <c r="Q456" s="15"/>
      <c r="R456" s="15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5"/>
      <c r="Q457" s="15"/>
      <c r="R457" s="15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5"/>
      <c r="Q458" s="15"/>
      <c r="R458" s="15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5"/>
      <c r="Q459" s="15"/>
      <c r="R459" s="15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5"/>
      <c r="Q460" s="15"/>
      <c r="R460" s="15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5"/>
      <c r="Q461" s="15"/>
      <c r="R461" s="15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5"/>
      <c r="Q462" s="15"/>
      <c r="R462" s="15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5"/>
      <c r="Q463" s="15"/>
      <c r="R463" s="15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5"/>
      <c r="Q464" s="15"/>
      <c r="R464" s="15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5"/>
      <c r="Q465" s="15"/>
      <c r="R465" s="15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5"/>
      <c r="Q466" s="15"/>
      <c r="R466" s="15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5"/>
      <c r="Q467" s="15"/>
      <c r="R467" s="15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5"/>
      <c r="Q468" s="15"/>
      <c r="R468" s="15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5"/>
      <c r="Q469" s="15"/>
      <c r="R469" s="15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5"/>
      <c r="Q470" s="15"/>
      <c r="R470" s="15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5"/>
      <c r="Q471" s="15"/>
      <c r="R471" s="15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5"/>
      <c r="Q472" s="15"/>
      <c r="R472" s="15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5"/>
      <c r="Q473" s="15"/>
      <c r="R473" s="15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5"/>
      <c r="Q474" s="15"/>
      <c r="R474" s="15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5"/>
      <c r="Q475" s="15"/>
      <c r="R475" s="15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5"/>
      <c r="Q476" s="15"/>
      <c r="R476" s="15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5"/>
      <c r="Q477" s="15"/>
      <c r="R477" s="15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5"/>
      <c r="Q478" s="15"/>
      <c r="R478" s="15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5"/>
      <c r="Q479" s="15"/>
      <c r="R479" s="15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5"/>
      <c r="Q480" s="15"/>
      <c r="R480" s="15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5"/>
      <c r="Q481" s="15"/>
      <c r="R481" s="15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5"/>
      <c r="Q482" s="15"/>
      <c r="R482" s="15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5"/>
      <c r="Q483" s="15"/>
      <c r="R483" s="15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5"/>
      <c r="Q484" s="15"/>
      <c r="R484" s="15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5"/>
      <c r="Q485" s="15"/>
      <c r="R485" s="15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5"/>
      <c r="Q486" s="15"/>
      <c r="R486" s="15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5"/>
      <c r="Q487" s="15"/>
      <c r="R487" s="15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5"/>
      <c r="Q488" s="15"/>
      <c r="R488" s="15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5"/>
      <c r="Q489" s="15"/>
      <c r="R489" s="15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5"/>
      <c r="Q490" s="15"/>
      <c r="R490" s="15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5"/>
      <c r="Q491" s="15"/>
      <c r="R491" s="15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5"/>
      <c r="Q492" s="15"/>
      <c r="R492" s="15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5"/>
      <c r="Q493" s="15"/>
      <c r="R493" s="15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5"/>
      <c r="Q494" s="15"/>
      <c r="R494" s="15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5"/>
      <c r="Q495" s="15"/>
      <c r="R495" s="15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5"/>
      <c r="Q496" s="15"/>
      <c r="R496" s="15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5"/>
      <c r="Q497" s="15"/>
      <c r="R497" s="15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5"/>
      <c r="Q498" s="15"/>
      <c r="R498" s="15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5"/>
      <c r="Q499" s="15"/>
      <c r="R499" s="15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5"/>
      <c r="Q500" s="15"/>
      <c r="R500" s="15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5"/>
      <c r="Q501" s="15"/>
      <c r="R501" s="15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5"/>
      <c r="Q502" s="15"/>
      <c r="R502" s="15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5"/>
      <c r="Q503" s="15"/>
      <c r="R503" s="15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5"/>
      <c r="Q504" s="15"/>
      <c r="R504" s="15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5"/>
      <c r="Q505" s="15"/>
      <c r="R505" s="15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5"/>
      <c r="Q506" s="15"/>
      <c r="R506" s="15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5"/>
      <c r="Q507" s="15"/>
      <c r="R507" s="15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5"/>
      <c r="Q508" s="15"/>
      <c r="R508" s="15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5"/>
      <c r="Q509" s="15"/>
      <c r="R509" s="15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5"/>
      <c r="Q510" s="15"/>
      <c r="R510" s="15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5"/>
      <c r="Q511" s="15"/>
      <c r="R511" s="15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5"/>
      <c r="Q512" s="15"/>
      <c r="R512" s="15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5"/>
      <c r="Q513" s="15"/>
      <c r="R513" s="15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5"/>
      <c r="Q514" s="15"/>
      <c r="R514" s="15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5"/>
      <c r="Q515" s="15"/>
      <c r="R515" s="15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5"/>
      <c r="Q516" s="15"/>
      <c r="R516" s="15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5"/>
      <c r="Q517" s="15"/>
      <c r="R517" s="15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5"/>
      <c r="Q518" s="15"/>
      <c r="R518" s="15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5"/>
      <c r="Q519" s="15"/>
      <c r="R519" s="15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5"/>
      <c r="Q520" s="15"/>
      <c r="R520" s="15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5"/>
      <c r="Q521" s="15"/>
      <c r="R521" s="15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5"/>
      <c r="Q522" s="15"/>
      <c r="R522" s="15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5"/>
      <c r="Q523" s="15"/>
      <c r="R523" s="15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5"/>
      <c r="Q524" s="15"/>
      <c r="R524" s="15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5"/>
      <c r="Q525" s="15"/>
      <c r="R525" s="15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5"/>
      <c r="Q526" s="15"/>
      <c r="R526" s="15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5"/>
      <c r="Q527" s="15"/>
      <c r="R527" s="15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5"/>
      <c r="Q528" s="15"/>
      <c r="R528" s="15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5"/>
      <c r="Q529" s="15"/>
      <c r="R529" s="15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5"/>
      <c r="Q530" s="15"/>
      <c r="R530" s="15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5"/>
      <c r="Q531" s="15"/>
      <c r="R531" s="15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5"/>
      <c r="Q532" s="15"/>
      <c r="R532" s="15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5"/>
      <c r="Q533" s="15"/>
      <c r="R533" s="15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5"/>
      <c r="Q534" s="15"/>
      <c r="R534" s="15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5"/>
      <c r="Q535" s="15"/>
      <c r="R535" s="15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5"/>
      <c r="Q536" s="15"/>
      <c r="R536" s="15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5"/>
      <c r="Q537" s="15"/>
      <c r="R537" s="15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5"/>
      <c r="Q538" s="15"/>
      <c r="R538" s="15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5"/>
      <c r="Q539" s="15"/>
      <c r="R539" s="15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5"/>
      <c r="Q540" s="15"/>
      <c r="R540" s="15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5"/>
      <c r="Q541" s="15"/>
      <c r="R541" s="15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5"/>
      <c r="Q542" s="15"/>
      <c r="R542" s="15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5"/>
      <c r="Q543" s="15"/>
      <c r="R543" s="15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5"/>
      <c r="Q544" s="15"/>
      <c r="R544" s="15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5"/>
      <c r="Q545" s="15"/>
      <c r="R545" s="15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5"/>
      <c r="Q546" s="15"/>
      <c r="R546" s="15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5"/>
      <c r="Q547" s="15"/>
      <c r="R547" s="15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5"/>
      <c r="Q548" s="15"/>
      <c r="R548" s="15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5"/>
      <c r="Q549" s="15"/>
      <c r="R549" s="15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5"/>
      <c r="Q550" s="15"/>
      <c r="R550" s="15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5"/>
      <c r="Q551" s="15"/>
      <c r="R551" s="15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5"/>
      <c r="Q552" s="15"/>
      <c r="R552" s="15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5"/>
      <c r="Q553" s="15"/>
      <c r="R553" s="15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5"/>
      <c r="Q554" s="15"/>
      <c r="R554" s="15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5"/>
      <c r="Q555" s="15"/>
      <c r="R555" s="15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5"/>
      <c r="Q556" s="15"/>
      <c r="R556" s="15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5"/>
      <c r="Q557" s="15"/>
      <c r="R557" s="15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5"/>
      <c r="Q558" s="15"/>
      <c r="R558" s="15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5"/>
      <c r="Q559" s="15"/>
      <c r="R559" s="15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5"/>
      <c r="Q560" s="15"/>
      <c r="R560" s="15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5"/>
      <c r="Q561" s="15"/>
      <c r="R561" s="15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5"/>
      <c r="Q562" s="15"/>
      <c r="R562" s="15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5"/>
      <c r="Q563" s="15"/>
      <c r="R563" s="15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5"/>
      <c r="Q564" s="15"/>
      <c r="R564" s="15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5"/>
      <c r="Q565" s="15"/>
      <c r="R565" s="15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5"/>
      <c r="Q566" s="15"/>
      <c r="R566" s="15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5"/>
      <c r="Q567" s="15"/>
      <c r="R567" s="15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5"/>
      <c r="Q568" s="15"/>
      <c r="R568" s="15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5"/>
      <c r="Q569" s="15"/>
      <c r="R569" s="15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5"/>
      <c r="Q570" s="15"/>
      <c r="R570" s="15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5"/>
      <c r="Q571" s="15"/>
      <c r="R571" s="15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5"/>
      <c r="Q572" s="15"/>
      <c r="R572" s="15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5"/>
      <c r="Q573" s="15"/>
      <c r="R573" s="15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5"/>
      <c r="Q574" s="15"/>
      <c r="R574" s="15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5"/>
      <c r="Q575" s="15"/>
      <c r="R575" s="15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5"/>
      <c r="Q576" s="15"/>
      <c r="R576" s="15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5"/>
      <c r="Q577" s="15"/>
      <c r="R577" s="15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5"/>
      <c r="Q578" s="15"/>
      <c r="R578" s="15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5"/>
      <c r="Q579" s="15"/>
      <c r="R579" s="15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5"/>
      <c r="Q580" s="15"/>
      <c r="R580" s="15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5"/>
      <c r="Q581" s="15"/>
      <c r="R581" s="15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5"/>
      <c r="Q582" s="15"/>
      <c r="R582" s="15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5"/>
      <c r="Q583" s="15"/>
      <c r="R583" s="15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5"/>
      <c r="Q584" s="15"/>
      <c r="R584" s="15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5"/>
      <c r="Q585" s="15"/>
      <c r="R585" s="15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5"/>
      <c r="Q586" s="15"/>
      <c r="R586" s="15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5"/>
      <c r="Q587" s="15"/>
      <c r="R587" s="15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5"/>
      <c r="Q588" s="15"/>
      <c r="R588" s="15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5"/>
      <c r="Q589" s="15"/>
      <c r="R589" s="15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5"/>
      <c r="Q590" s="15"/>
      <c r="R590" s="15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5"/>
      <c r="Q591" s="15"/>
      <c r="R591" s="15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5"/>
      <c r="Q592" s="15"/>
      <c r="R592" s="15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5"/>
      <c r="Q593" s="15"/>
      <c r="R593" s="15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5"/>
      <c r="Q594" s="15"/>
      <c r="R594" s="15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5"/>
      <c r="Q595" s="15"/>
      <c r="R595" s="15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5"/>
      <c r="Q596" s="15"/>
      <c r="R596" s="15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5"/>
      <c r="Q597" s="15"/>
      <c r="R597" s="15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5"/>
      <c r="Q598" s="15"/>
      <c r="R598" s="15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5"/>
      <c r="Q599" s="15"/>
      <c r="R599" s="15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5"/>
      <c r="Q600" s="15"/>
      <c r="R600" s="15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5"/>
      <c r="Q601" s="15"/>
      <c r="R601" s="15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5"/>
      <c r="Q602" s="15"/>
      <c r="R602" s="15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5"/>
      <c r="Q603" s="15"/>
      <c r="R603" s="15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5"/>
      <c r="Q604" s="15"/>
      <c r="R604" s="15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5"/>
      <c r="Q605" s="15"/>
      <c r="R605" s="15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5"/>
      <c r="Q606" s="15"/>
      <c r="R606" s="15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5"/>
      <c r="Q607" s="15"/>
      <c r="R607" s="15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5"/>
      <c r="Q608" s="15"/>
      <c r="R608" s="15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5"/>
      <c r="Q609" s="15"/>
      <c r="R609" s="15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5"/>
      <c r="Q610" s="15"/>
      <c r="R610" s="15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5"/>
      <c r="Q611" s="15"/>
      <c r="R611" s="15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5"/>
      <c r="Q612" s="15"/>
      <c r="R612" s="15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5"/>
      <c r="Q613" s="15"/>
      <c r="R613" s="15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5"/>
      <c r="Q614" s="15"/>
      <c r="R614" s="15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5"/>
      <c r="Q615" s="15"/>
      <c r="R615" s="15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5"/>
      <c r="Q616" s="15"/>
      <c r="R616" s="15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5"/>
      <c r="Q617" s="15"/>
      <c r="R617" s="15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5"/>
      <c r="Q618" s="15"/>
      <c r="R618" s="15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5"/>
      <c r="Q619" s="15"/>
      <c r="R619" s="15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5"/>
      <c r="Q620" s="15"/>
      <c r="R620" s="15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5"/>
      <c r="Q621" s="15"/>
      <c r="R621" s="15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5"/>
      <c r="Q622" s="15"/>
      <c r="R622" s="15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5"/>
      <c r="Q623" s="15"/>
      <c r="R623" s="15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5"/>
      <c r="Q624" s="15"/>
      <c r="R624" s="15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5"/>
      <c r="Q625" s="15"/>
      <c r="R625" s="15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5"/>
      <c r="Q626" s="15"/>
      <c r="R626" s="15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5"/>
      <c r="Q627" s="15"/>
      <c r="R627" s="15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5"/>
      <c r="Q628" s="15"/>
      <c r="R628" s="15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5"/>
      <c r="Q629" s="15"/>
      <c r="R629" s="15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5"/>
      <c r="Q630" s="15"/>
      <c r="R630" s="15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5"/>
      <c r="Q631" s="15"/>
      <c r="R631" s="15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5"/>
      <c r="Q632" s="15"/>
      <c r="R632" s="15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5"/>
      <c r="Q633" s="15"/>
      <c r="R633" s="15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5"/>
      <c r="Q634" s="15"/>
      <c r="R634" s="15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5"/>
      <c r="Q635" s="15"/>
      <c r="R635" s="15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5"/>
      <c r="Q636" s="15"/>
      <c r="R636" s="15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5"/>
      <c r="Q637" s="15"/>
      <c r="R637" s="15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5"/>
      <c r="Q638" s="15"/>
      <c r="R638" s="15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5"/>
      <c r="Q639" s="15"/>
      <c r="R639" s="15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5"/>
      <c r="Q640" s="15"/>
      <c r="R640" s="15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5"/>
      <c r="Q641" s="15"/>
      <c r="R641" s="15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5"/>
      <c r="Q642" s="15"/>
      <c r="R642" s="15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5"/>
      <c r="Q643" s="15"/>
      <c r="R643" s="15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5"/>
      <c r="Q644" s="15"/>
      <c r="R644" s="15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5"/>
      <c r="Q645" s="15"/>
      <c r="R645" s="15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5"/>
      <c r="Q646" s="15"/>
      <c r="R646" s="15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5"/>
      <c r="Q647" s="15"/>
      <c r="R647" s="15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5"/>
      <c r="Q648" s="15"/>
      <c r="R648" s="15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5"/>
      <c r="Q649" s="15"/>
      <c r="R649" s="15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5"/>
      <c r="Q650" s="15"/>
      <c r="R650" s="15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5"/>
      <c r="Q651" s="15"/>
      <c r="R651" s="15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5"/>
      <c r="Q652" s="15"/>
      <c r="R652" s="15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5"/>
      <c r="Q653" s="15"/>
      <c r="R653" s="15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5"/>
      <c r="Q654" s="15"/>
      <c r="R654" s="15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5"/>
      <c r="Q655" s="15"/>
      <c r="R655" s="15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5"/>
      <c r="Q656" s="15"/>
      <c r="R656" s="15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5"/>
      <c r="Q657" s="15"/>
      <c r="R657" s="15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5"/>
      <c r="Q658" s="15"/>
      <c r="R658" s="15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5"/>
      <c r="Q659" s="15"/>
      <c r="R659" s="15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5"/>
      <c r="Q660" s="15"/>
      <c r="R660" s="15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5"/>
      <c r="Q661" s="15"/>
      <c r="R661" s="15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5"/>
      <c r="Q662" s="15"/>
      <c r="R662" s="15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5"/>
      <c r="Q663" s="15"/>
      <c r="R663" s="15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5"/>
      <c r="Q664" s="15"/>
      <c r="R664" s="15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5"/>
      <c r="Q665" s="15"/>
      <c r="R665" s="15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5"/>
      <c r="Q666" s="15"/>
      <c r="R666" s="15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5"/>
      <c r="Q667" s="15"/>
      <c r="R667" s="15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5"/>
      <c r="Q668" s="15"/>
      <c r="R668" s="15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5"/>
      <c r="Q669" s="15"/>
      <c r="R669" s="15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5"/>
      <c r="Q670" s="15"/>
      <c r="R670" s="15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5"/>
      <c r="Q671" s="15"/>
      <c r="R671" s="15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5"/>
      <c r="Q672" s="15"/>
      <c r="R672" s="15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5"/>
      <c r="Q673" s="15"/>
      <c r="R673" s="15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5"/>
      <c r="Q674" s="15"/>
      <c r="R674" s="15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5"/>
      <c r="Q675" s="15"/>
      <c r="R675" s="15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5"/>
      <c r="Q676" s="15"/>
      <c r="R676" s="15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5"/>
      <c r="Q677" s="15"/>
      <c r="R677" s="15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5"/>
      <c r="Q678" s="15"/>
      <c r="R678" s="15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5"/>
      <c r="Q679" s="15"/>
      <c r="R679" s="15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5"/>
      <c r="Q680" s="15"/>
      <c r="R680" s="15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5"/>
      <c r="Q681" s="15"/>
      <c r="R681" s="15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5"/>
      <c r="Q682" s="15"/>
      <c r="R682" s="15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5"/>
      <c r="Q683" s="15"/>
      <c r="R683" s="15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5"/>
      <c r="Q684" s="15"/>
      <c r="R684" s="15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5"/>
      <c r="Q685" s="15"/>
      <c r="R685" s="15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5"/>
      <c r="Q686" s="15"/>
      <c r="R686" s="15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5"/>
      <c r="Q687" s="15"/>
      <c r="R687" s="15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5"/>
      <c r="Q688" s="15"/>
      <c r="R688" s="15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5"/>
      <c r="Q689" s="15"/>
      <c r="R689" s="15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5"/>
      <c r="Q690" s="15"/>
      <c r="R690" s="15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5"/>
      <c r="Q691" s="15"/>
      <c r="R691" s="15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5"/>
      <c r="Q692" s="15"/>
      <c r="R692" s="15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5"/>
      <c r="Q693" s="15"/>
      <c r="R693" s="15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5"/>
      <c r="Q694" s="15"/>
      <c r="R694" s="15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5"/>
      <c r="Q695" s="15"/>
      <c r="R695" s="15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5"/>
      <c r="Q696" s="15"/>
      <c r="R696" s="15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5"/>
      <c r="Q697" s="15"/>
      <c r="R697" s="15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5"/>
      <c r="Q698" s="15"/>
      <c r="R698" s="15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5"/>
      <c r="Q699" s="15"/>
      <c r="R699" s="15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5"/>
      <c r="Q700" s="15"/>
      <c r="R700" s="15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5"/>
      <c r="Q701" s="15"/>
      <c r="R701" s="15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5"/>
      <c r="Q702" s="15"/>
      <c r="R702" s="15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5"/>
      <c r="Q703" s="15"/>
      <c r="R703" s="15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5"/>
      <c r="Q704" s="15"/>
      <c r="R704" s="15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5"/>
      <c r="Q705" s="15"/>
      <c r="R705" s="15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5"/>
      <c r="Q706" s="15"/>
      <c r="R706" s="15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5"/>
      <c r="Q707" s="15"/>
      <c r="R707" s="15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5"/>
      <c r="Q708" s="15"/>
      <c r="R708" s="15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5"/>
      <c r="Q709" s="15"/>
      <c r="R709" s="15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5"/>
      <c r="Q710" s="15"/>
      <c r="R710" s="15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5"/>
      <c r="Q711" s="15"/>
      <c r="R711" s="15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5"/>
      <c r="Q712" s="15"/>
      <c r="R712" s="15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5"/>
      <c r="Q713" s="15"/>
      <c r="R713" s="15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5"/>
      <c r="Q714" s="15"/>
      <c r="R714" s="15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5"/>
      <c r="Q715" s="15"/>
      <c r="R715" s="15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5"/>
      <c r="Q716" s="15"/>
      <c r="R716" s="15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5"/>
      <c r="Q717" s="15"/>
      <c r="R717" s="15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5"/>
      <c r="Q718" s="15"/>
      <c r="R718" s="15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5"/>
      <c r="Q719" s="15"/>
      <c r="R719" s="15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5"/>
      <c r="Q720" s="15"/>
      <c r="R720" s="15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5"/>
      <c r="Q721" s="15"/>
      <c r="R721" s="15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5"/>
      <c r="Q722" s="15"/>
      <c r="R722" s="15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5"/>
      <c r="Q723" s="15"/>
      <c r="R723" s="15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5"/>
      <c r="Q724" s="15"/>
      <c r="R724" s="15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5"/>
      <c r="Q725" s="15"/>
      <c r="R725" s="15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5"/>
      <c r="Q726" s="15"/>
      <c r="R726" s="15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5"/>
      <c r="Q727" s="15"/>
      <c r="R727" s="15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5"/>
      <c r="Q728" s="15"/>
      <c r="R728" s="15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5"/>
      <c r="Q729" s="15"/>
      <c r="R729" s="15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5"/>
      <c r="Q730" s="15"/>
      <c r="R730" s="15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5"/>
      <c r="Q731" s="15"/>
      <c r="R731" s="15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5"/>
      <c r="Q732" s="15"/>
      <c r="R732" s="15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5"/>
      <c r="Q733" s="15"/>
      <c r="R733" s="15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5"/>
      <c r="Q734" s="15"/>
      <c r="R734" s="15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5"/>
      <c r="Q735" s="15"/>
      <c r="R735" s="15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5"/>
      <c r="Q736" s="15"/>
      <c r="R736" s="15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5"/>
      <c r="Q737" s="15"/>
      <c r="R737" s="15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5"/>
      <c r="Q738" s="15"/>
      <c r="R738" s="15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5"/>
      <c r="Q739" s="15"/>
      <c r="R739" s="15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5"/>
      <c r="Q740" s="15"/>
      <c r="R740" s="15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5"/>
      <c r="Q741" s="15"/>
      <c r="R741" s="15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5"/>
      <c r="Q742" s="15"/>
      <c r="R742" s="15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5"/>
      <c r="Q743" s="15"/>
      <c r="R743" s="15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5"/>
      <c r="Q744" s="15"/>
      <c r="R744" s="15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5"/>
      <c r="Q745" s="15"/>
      <c r="R745" s="15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5"/>
      <c r="Q746" s="15"/>
      <c r="R746" s="15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5"/>
      <c r="Q747" s="15"/>
      <c r="R747" s="15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5"/>
      <c r="Q748" s="15"/>
      <c r="R748" s="15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5"/>
      <c r="Q749" s="15"/>
      <c r="R749" s="15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5"/>
      <c r="Q750" s="15"/>
      <c r="R750" s="15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5"/>
      <c r="Q751" s="15"/>
      <c r="R751" s="15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5"/>
      <c r="Q752" s="15"/>
      <c r="R752" s="15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5"/>
      <c r="Q753" s="15"/>
      <c r="R753" s="15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5"/>
      <c r="Q754" s="15"/>
      <c r="R754" s="15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5"/>
      <c r="Q755" s="15"/>
      <c r="R755" s="15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5"/>
      <c r="Q756" s="15"/>
      <c r="R756" s="15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5"/>
      <c r="Q757" s="15"/>
      <c r="R757" s="15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5"/>
      <c r="Q758" s="15"/>
      <c r="R758" s="15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5"/>
      <c r="Q759" s="15"/>
      <c r="R759" s="15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5"/>
      <c r="Q760" s="15"/>
      <c r="R760" s="15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5"/>
      <c r="Q761" s="15"/>
      <c r="R761" s="15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5"/>
      <c r="Q762" s="15"/>
      <c r="R762" s="15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5"/>
      <c r="Q763" s="15"/>
      <c r="R763" s="15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5"/>
      <c r="Q764" s="15"/>
      <c r="R764" s="15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5"/>
      <c r="Q765" s="15"/>
      <c r="R765" s="15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5"/>
      <c r="Q766" s="15"/>
      <c r="R766" s="15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5"/>
      <c r="Q767" s="15"/>
      <c r="R767" s="15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5"/>
      <c r="Q768" s="15"/>
      <c r="R768" s="15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5"/>
      <c r="Q769" s="15"/>
      <c r="R769" s="15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5"/>
      <c r="Q770" s="15"/>
      <c r="R770" s="15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5"/>
      <c r="Q771" s="15"/>
      <c r="R771" s="15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5"/>
      <c r="Q772" s="15"/>
      <c r="R772" s="15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5"/>
      <c r="Q773" s="15"/>
      <c r="R773" s="15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5"/>
      <c r="Q774" s="15"/>
      <c r="R774" s="15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5"/>
      <c r="Q775" s="15"/>
      <c r="R775" s="15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5"/>
      <c r="Q776" s="15"/>
      <c r="R776" s="15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5"/>
      <c r="Q777" s="15"/>
      <c r="R777" s="15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5"/>
      <c r="Q778" s="15"/>
      <c r="R778" s="15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5"/>
      <c r="Q779" s="15"/>
      <c r="R779" s="15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5"/>
      <c r="Q780" s="15"/>
      <c r="R780" s="15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5"/>
      <c r="Q781" s="15"/>
      <c r="R781" s="15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5"/>
      <c r="Q782" s="15"/>
      <c r="R782" s="15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5"/>
      <c r="Q783" s="15"/>
      <c r="R783" s="15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5"/>
      <c r="Q784" s="15"/>
      <c r="R784" s="15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5"/>
      <c r="Q785" s="15"/>
      <c r="R785" s="15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5"/>
      <c r="Q786" s="15"/>
      <c r="R786" s="15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5"/>
      <c r="Q787" s="15"/>
      <c r="R787" s="15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5"/>
      <c r="Q788" s="15"/>
      <c r="R788" s="15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5"/>
      <c r="Q789" s="15"/>
      <c r="R789" s="15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5"/>
      <c r="Q790" s="15"/>
      <c r="R790" s="15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5"/>
      <c r="Q791" s="15"/>
      <c r="R791" s="15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5"/>
      <c r="Q792" s="15"/>
      <c r="R792" s="15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5"/>
      <c r="Q793" s="15"/>
      <c r="R793" s="15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5"/>
      <c r="Q794" s="15"/>
      <c r="R794" s="15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5"/>
      <c r="Q795" s="15"/>
      <c r="R795" s="15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5"/>
      <c r="Q796" s="15"/>
      <c r="R796" s="15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5"/>
      <c r="Q797" s="15"/>
      <c r="R797" s="15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5"/>
      <c r="Q798" s="15"/>
      <c r="R798" s="15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5"/>
      <c r="Q799" s="15"/>
      <c r="R799" s="15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5"/>
      <c r="Q800" s="15"/>
      <c r="R800" s="15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5"/>
      <c r="Q801" s="15"/>
      <c r="R801" s="15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5"/>
      <c r="Q802" s="15"/>
      <c r="R802" s="15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5"/>
      <c r="Q803" s="15"/>
      <c r="R803" s="15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5"/>
      <c r="Q804" s="15"/>
      <c r="R804" s="15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5"/>
      <c r="Q805" s="15"/>
      <c r="R805" s="15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5"/>
      <c r="Q806" s="15"/>
      <c r="R806" s="15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5"/>
      <c r="Q807" s="15"/>
      <c r="R807" s="15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5"/>
      <c r="Q808" s="15"/>
      <c r="R808" s="15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5"/>
      <c r="Q809" s="15"/>
      <c r="R809" s="15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5"/>
      <c r="Q810" s="15"/>
      <c r="R810" s="15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5"/>
      <c r="Q811" s="15"/>
      <c r="R811" s="15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5"/>
      <c r="Q812" s="15"/>
      <c r="R812" s="15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5"/>
      <c r="Q813" s="15"/>
      <c r="R813" s="15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5"/>
      <c r="Q814" s="15"/>
      <c r="R814" s="15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5"/>
      <c r="Q815" s="15"/>
      <c r="R815" s="15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5"/>
      <c r="Q816" s="15"/>
      <c r="R816" s="15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5"/>
      <c r="Q817" s="15"/>
      <c r="R817" s="15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5"/>
      <c r="Q818" s="15"/>
      <c r="R818" s="15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5"/>
      <c r="Q819" s="15"/>
      <c r="R819" s="15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5"/>
      <c r="Q820" s="15"/>
      <c r="R820" s="15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5"/>
      <c r="Q821" s="15"/>
      <c r="R821" s="15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5"/>
      <c r="Q822" s="15"/>
      <c r="R822" s="15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5"/>
      <c r="Q823" s="15"/>
      <c r="R823" s="15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5"/>
      <c r="Q824" s="15"/>
      <c r="R824" s="15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5"/>
      <c r="Q825" s="15"/>
      <c r="R825" s="15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5"/>
      <c r="Q826" s="15"/>
      <c r="R826" s="15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5"/>
      <c r="Q827" s="15"/>
      <c r="R827" s="15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5"/>
      <c r="Q828" s="15"/>
      <c r="R828" s="15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5"/>
      <c r="Q829" s="15"/>
      <c r="R829" s="15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5"/>
      <c r="Q830" s="15"/>
      <c r="R830" s="15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5"/>
      <c r="Q831" s="15"/>
      <c r="R831" s="15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5"/>
      <c r="Q832" s="15"/>
      <c r="R832" s="15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5"/>
      <c r="Q833" s="15"/>
      <c r="R833" s="15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5"/>
      <c r="Q834" s="15"/>
      <c r="R834" s="15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5"/>
      <c r="Q835" s="15"/>
      <c r="R835" s="15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5"/>
      <c r="Q836" s="15"/>
      <c r="R836" s="15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5"/>
      <c r="Q837" s="15"/>
      <c r="R837" s="15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5"/>
      <c r="Q838" s="15"/>
      <c r="R838" s="15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5"/>
      <c r="Q839" s="15"/>
      <c r="R839" s="15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5"/>
      <c r="Q840" s="15"/>
      <c r="R840" s="15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5"/>
      <c r="Q841" s="15"/>
      <c r="R841" s="15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5"/>
      <c r="Q842" s="15"/>
      <c r="R842" s="15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5"/>
      <c r="Q843" s="15"/>
      <c r="R843" s="15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5"/>
      <c r="Q844" s="15"/>
      <c r="R844" s="15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5"/>
      <c r="Q845" s="15"/>
      <c r="R845" s="15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5"/>
      <c r="Q846" s="15"/>
      <c r="R846" s="15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5"/>
      <c r="Q847" s="15"/>
      <c r="R847" s="15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5"/>
      <c r="Q848" s="15"/>
      <c r="R848" s="15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5"/>
      <c r="Q849" s="15"/>
      <c r="R849" s="15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5"/>
      <c r="Q850" s="15"/>
      <c r="R850" s="15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5"/>
      <c r="Q851" s="15"/>
      <c r="R851" s="15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5"/>
      <c r="Q852" s="15"/>
      <c r="R852" s="15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5"/>
      <c r="Q853" s="15"/>
      <c r="R853" s="15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5"/>
      <c r="Q854" s="15"/>
      <c r="R854" s="15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5"/>
      <c r="Q855" s="15"/>
      <c r="R855" s="15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5"/>
      <c r="Q856" s="15"/>
      <c r="R856" s="15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5"/>
      <c r="Q857" s="15"/>
      <c r="R857" s="15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5"/>
      <c r="Q858" s="15"/>
      <c r="R858" s="15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5"/>
      <c r="Q859" s="15"/>
      <c r="R859" s="15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5"/>
      <c r="Q860" s="15"/>
      <c r="R860" s="15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5"/>
      <c r="Q861" s="15"/>
      <c r="R861" s="15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5"/>
      <c r="Q862" s="15"/>
      <c r="R862" s="15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5"/>
      <c r="Q863" s="15"/>
      <c r="R863" s="15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5"/>
      <c r="Q864" s="15"/>
      <c r="R864" s="15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5"/>
      <c r="Q865" s="15"/>
      <c r="R865" s="15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5"/>
      <c r="Q866" s="15"/>
      <c r="R866" s="15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5"/>
      <c r="Q867" s="15"/>
      <c r="R867" s="15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5"/>
      <c r="Q868" s="15"/>
      <c r="R868" s="15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5"/>
      <c r="Q869" s="15"/>
      <c r="R869" s="15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5"/>
      <c r="Q870" s="15"/>
      <c r="R870" s="15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5"/>
      <c r="Q871" s="15"/>
      <c r="R871" s="15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5"/>
      <c r="Q872" s="15"/>
      <c r="R872" s="15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5"/>
      <c r="Q873" s="15"/>
      <c r="R873" s="15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5"/>
      <c r="Q874" s="15"/>
      <c r="R874" s="15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5"/>
      <c r="Q875" s="15"/>
      <c r="R875" s="15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5"/>
      <c r="Q876" s="15"/>
      <c r="R876" s="15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5"/>
      <c r="Q877" s="15"/>
      <c r="R877" s="15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5"/>
      <c r="Q878" s="15"/>
      <c r="R878" s="15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5"/>
      <c r="Q879" s="15"/>
      <c r="R879" s="15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5"/>
      <c r="Q880" s="15"/>
      <c r="R880" s="15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5"/>
      <c r="Q881" s="15"/>
      <c r="R881" s="15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5"/>
      <c r="Q882" s="15"/>
      <c r="R882" s="15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5"/>
      <c r="Q883" s="15"/>
      <c r="R883" s="15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5"/>
      <c r="Q884" s="15"/>
      <c r="R884" s="15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5"/>
      <c r="Q885" s="15"/>
      <c r="R885" s="15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5"/>
      <c r="Q886" s="15"/>
      <c r="R886" s="15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5"/>
      <c r="Q887" s="15"/>
      <c r="R887" s="15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5"/>
      <c r="Q888" s="15"/>
      <c r="R888" s="15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5"/>
      <c r="Q889" s="15"/>
      <c r="R889" s="15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5"/>
      <c r="Q890" s="15"/>
      <c r="R890" s="15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5"/>
      <c r="Q891" s="15"/>
      <c r="R891" s="15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5"/>
      <c r="Q892" s="15"/>
      <c r="R892" s="15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5"/>
      <c r="Q893" s="15"/>
      <c r="R893" s="15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5"/>
      <c r="Q894" s="15"/>
      <c r="R894" s="15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5"/>
      <c r="Q895" s="15"/>
      <c r="R895" s="15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5"/>
      <c r="Q896" s="15"/>
      <c r="R896" s="15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5"/>
      <c r="Q897" s="15"/>
      <c r="R897" s="15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5"/>
      <c r="Q898" s="15"/>
      <c r="R898" s="15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5"/>
      <c r="Q899" s="15"/>
      <c r="R899" s="15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5"/>
      <c r="Q900" s="15"/>
      <c r="R900" s="15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5"/>
      <c r="Q901" s="15"/>
      <c r="R901" s="15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5"/>
      <c r="Q902" s="15"/>
      <c r="R902" s="15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5"/>
      <c r="Q903" s="15"/>
      <c r="R903" s="15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5"/>
      <c r="Q904" s="15"/>
      <c r="R904" s="15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5"/>
      <c r="Q905" s="15"/>
      <c r="R905" s="15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5"/>
      <c r="Q906" s="15"/>
      <c r="R906" s="15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5"/>
      <c r="Q907" s="15"/>
      <c r="R907" s="15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5"/>
      <c r="Q908" s="15"/>
      <c r="R908" s="15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5"/>
      <c r="Q909" s="15"/>
      <c r="R909" s="15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5"/>
      <c r="Q910" s="15"/>
      <c r="R910" s="15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5"/>
      <c r="Q911" s="15"/>
      <c r="R911" s="15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5"/>
      <c r="Q912" s="15"/>
      <c r="R912" s="15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5"/>
      <c r="Q913" s="15"/>
      <c r="R913" s="15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5"/>
      <c r="Q914" s="15"/>
      <c r="R914" s="15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5"/>
      <c r="Q915" s="15"/>
      <c r="R915" s="15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5"/>
      <c r="Q916" s="15"/>
      <c r="R916" s="15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5"/>
      <c r="Q917" s="15"/>
      <c r="R917" s="15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5"/>
      <c r="Q918" s="15"/>
      <c r="R918" s="15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5"/>
      <c r="Q919" s="15"/>
      <c r="R919" s="15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5"/>
      <c r="Q920" s="15"/>
      <c r="R920" s="15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5"/>
      <c r="Q921" s="15"/>
      <c r="R921" s="15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5"/>
      <c r="Q922" s="15"/>
      <c r="R922" s="15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5"/>
      <c r="Q923" s="15"/>
      <c r="R923" s="15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5"/>
      <c r="Q924" s="15"/>
      <c r="R924" s="15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5"/>
      <c r="Q925" s="15"/>
      <c r="R925" s="15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5"/>
      <c r="Q926" s="15"/>
      <c r="R926" s="15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5"/>
      <c r="Q927" s="15"/>
      <c r="R927" s="15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5"/>
      <c r="Q928" s="15"/>
      <c r="R928" s="15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5"/>
      <c r="Q929" s="15"/>
      <c r="R929" s="15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5"/>
      <c r="Q930" s="15"/>
      <c r="R930" s="15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5"/>
      <c r="Q931" s="15"/>
      <c r="R931" s="15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5"/>
      <c r="Q932" s="15"/>
      <c r="R932" s="15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5"/>
      <c r="Q933" s="15"/>
      <c r="R933" s="15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5"/>
      <c r="Q934" s="15"/>
      <c r="R934" s="15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5"/>
      <c r="Q935" s="15"/>
      <c r="R935" s="15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5"/>
      <c r="Q936" s="15"/>
      <c r="R936" s="15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5"/>
      <c r="Q937" s="15"/>
      <c r="R937" s="15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5"/>
      <c r="Q938" s="15"/>
      <c r="R938" s="15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5"/>
      <c r="Q939" s="15"/>
      <c r="R939" s="15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5"/>
      <c r="Q940" s="15"/>
      <c r="R940" s="15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5"/>
      <c r="Q941" s="15"/>
      <c r="R941" s="15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5"/>
      <c r="Q942" s="15"/>
      <c r="R942" s="15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5"/>
      <c r="Q943" s="15"/>
      <c r="R943" s="15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5"/>
      <c r="Q944" s="15"/>
      <c r="R944" s="15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5"/>
      <c r="Q945" s="15"/>
      <c r="R945" s="15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5"/>
      <c r="Q946" s="15"/>
      <c r="R946" s="15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5"/>
      <c r="Q947" s="15"/>
      <c r="R947" s="15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5"/>
      <c r="Q948" s="15"/>
      <c r="R948" s="15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5"/>
      <c r="Q949" s="15"/>
      <c r="R949" s="15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5"/>
      <c r="Q950" s="15"/>
      <c r="R950" s="15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5"/>
      <c r="Q951" s="15"/>
      <c r="R951" s="15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5"/>
      <c r="Q952" s="15"/>
      <c r="R952" s="15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5"/>
      <c r="Q953" s="15"/>
      <c r="R953" s="15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5"/>
      <c r="Q954" s="15"/>
      <c r="R954" s="15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5"/>
      <c r="Q955" s="15"/>
      <c r="R955" s="15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5"/>
      <c r="Q956" s="15"/>
      <c r="R956" s="15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5"/>
      <c r="Q957" s="15"/>
      <c r="R957" s="15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5"/>
      <c r="Q958" s="15"/>
      <c r="R958" s="15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5"/>
      <c r="Q959" s="15"/>
      <c r="R959" s="15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5"/>
      <c r="Q960" s="15"/>
      <c r="R960" s="15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5"/>
      <c r="Q961" s="15"/>
      <c r="R961" s="15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5"/>
      <c r="Q962" s="15"/>
      <c r="R962" s="15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5"/>
      <c r="Q963" s="15"/>
      <c r="R963" s="15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5"/>
      <c r="Q964" s="15"/>
      <c r="R964" s="15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5"/>
      <c r="Q965" s="15"/>
      <c r="R965" s="15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5"/>
      <c r="Q966" s="15"/>
      <c r="R966" s="15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5"/>
      <c r="Q967" s="15"/>
      <c r="R967" s="15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5"/>
      <c r="Q968" s="15"/>
      <c r="R968" s="15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5"/>
      <c r="Q969" s="15"/>
      <c r="R969" s="15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5"/>
      <c r="Q970" s="15"/>
      <c r="R970" s="15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5"/>
      <c r="Q971" s="15"/>
      <c r="R971" s="15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5"/>
      <c r="Q972" s="15"/>
      <c r="R972" s="15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5"/>
      <c r="Q973" s="15"/>
      <c r="R973" s="15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5"/>
      <c r="Q974" s="15"/>
      <c r="R974" s="15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5"/>
      <c r="Q975" s="15"/>
      <c r="R975" s="15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5"/>
      <c r="Q976" s="15"/>
      <c r="R976" s="15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5"/>
      <c r="Q977" s="15"/>
      <c r="R977" s="15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5"/>
      <c r="Q978" s="15"/>
      <c r="R978" s="15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5"/>
      <c r="Q979" s="15"/>
      <c r="R979" s="15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5"/>
      <c r="Q980" s="15"/>
      <c r="R980" s="15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5"/>
      <c r="Q981" s="15"/>
      <c r="R981" s="15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5"/>
      <c r="Q982" s="15"/>
      <c r="R982" s="15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5"/>
      <c r="Q983" s="15"/>
      <c r="R983" s="15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5"/>
      <c r="Q984" s="15"/>
      <c r="R984" s="15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5"/>
      <c r="Q985" s="15"/>
      <c r="R985" s="15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5"/>
      <c r="Q986" s="15"/>
      <c r="R986" s="15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5"/>
      <c r="Q987" s="15"/>
      <c r="R987" s="15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5"/>
      <c r="Q988" s="15"/>
      <c r="R988" s="15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5"/>
      <c r="Q989" s="15"/>
      <c r="R989" s="15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5"/>
      <c r="Q990" s="15"/>
      <c r="R990" s="15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5"/>
      <c r="Q991" s="15"/>
      <c r="R991" s="15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5"/>
      <c r="Q992" s="15"/>
      <c r="R992" s="15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5"/>
      <c r="Q993" s="15"/>
      <c r="R993" s="15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5"/>
      <c r="Q994" s="15"/>
      <c r="R994" s="15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5"/>
      <c r="Q995" s="15"/>
      <c r="R995" s="15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5"/>
      <c r="Q996" s="15"/>
      <c r="R996" s="15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5"/>
      <c r="Q997" s="15"/>
      <c r="R997" s="15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5"/>
      <c r="Q998" s="15"/>
      <c r="R998" s="15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5"/>
      <c r="Q999" s="15"/>
      <c r="R999" s="15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5"/>
      <c r="Q1000" s="15"/>
      <c r="R1000" s="15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1:27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5"/>
      <c r="Q1001" s="15"/>
      <c r="R1001" s="15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 spans="1:27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5"/>
      <c r="Q1002" s="15"/>
      <c r="R1002" s="15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 spans="1:27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5"/>
      <c r="Q1003" s="15"/>
      <c r="R1003" s="15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 spans="1:27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5"/>
      <c r="Q1004" s="15"/>
      <c r="R1004" s="15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 spans="1:27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5"/>
      <c r="Q1005" s="15"/>
      <c r="R1005" s="15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 spans="1:27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5"/>
      <c r="Q1006" s="15"/>
      <c r="R1006" s="15"/>
      <c r="S1006" s="13"/>
      <c r="T1006" s="13"/>
      <c r="U1006" s="13"/>
      <c r="V1006" s="13"/>
      <c r="W1006" s="13"/>
      <c r="X1006" s="13"/>
      <c r="Y1006" s="13"/>
      <c r="Z1006" s="13"/>
      <c r="AA1006" s="13"/>
    </row>
    <row r="1007" spans="1:27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5"/>
      <c r="Q1007" s="15"/>
      <c r="R1007" s="15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 spans="1:27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5"/>
      <c r="Q1008" s="15"/>
      <c r="R1008" s="15"/>
      <c r="S1008" s="13"/>
      <c r="T1008" s="13"/>
      <c r="U1008" s="13"/>
      <c r="V1008" s="13"/>
      <c r="W1008" s="13"/>
      <c r="X1008" s="13"/>
      <c r="Y1008" s="13"/>
      <c r="Z1008" s="13"/>
      <c r="AA1008" s="13"/>
    </row>
    <row r="1009" spans="1:27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5"/>
      <c r="Q1009" s="15"/>
      <c r="R1009" s="15"/>
      <c r="S1009" s="13"/>
      <c r="T1009" s="13"/>
      <c r="U1009" s="13"/>
      <c r="V1009" s="13"/>
      <c r="W1009" s="13"/>
      <c r="X1009" s="13"/>
      <c r="Y1009" s="13"/>
      <c r="Z1009" s="13"/>
      <c r="AA1009" s="13"/>
    </row>
    <row r="1010" spans="1:27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5"/>
      <c r="Q1010" s="15"/>
      <c r="R1010" s="15"/>
      <c r="S1010" s="13"/>
      <c r="T1010" s="13"/>
      <c r="U1010" s="13"/>
      <c r="V1010" s="13"/>
      <c r="W1010" s="13"/>
      <c r="X1010" s="13"/>
      <c r="Y1010" s="13"/>
      <c r="Z1010" s="13"/>
      <c r="AA1010" s="13"/>
    </row>
    <row r="1011" spans="1:27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5"/>
      <c r="Q1011" s="15"/>
      <c r="R1011" s="15"/>
      <c r="S1011" s="13"/>
      <c r="T1011" s="13"/>
      <c r="U1011" s="13"/>
      <c r="V1011" s="13"/>
      <c r="W1011" s="13"/>
      <c r="X1011" s="13"/>
      <c r="Y1011" s="13"/>
      <c r="Z1011" s="13"/>
      <c r="AA1011" s="13"/>
    </row>
    <row r="1012" spans="1:27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5"/>
      <c r="Q1012" s="15"/>
      <c r="R1012" s="15"/>
      <c r="S1012" s="13"/>
      <c r="T1012" s="13"/>
      <c r="U1012" s="13"/>
      <c r="V1012" s="13"/>
      <c r="W1012" s="13"/>
      <c r="X1012" s="13"/>
      <c r="Y1012" s="13"/>
      <c r="Z1012" s="13"/>
      <c r="AA1012" s="13"/>
    </row>
    <row r="1013" spans="1:27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5"/>
      <c r="Q1013" s="15"/>
      <c r="R1013" s="15"/>
      <c r="S1013" s="13"/>
      <c r="T1013" s="13"/>
      <c r="U1013" s="13"/>
      <c r="V1013" s="13"/>
      <c r="W1013" s="13"/>
      <c r="X1013" s="13"/>
      <c r="Y1013" s="13"/>
      <c r="Z1013" s="13"/>
      <c r="AA1013" s="13"/>
    </row>
    <row r="1014" spans="1:27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5"/>
      <c r="Q1014" s="15"/>
      <c r="R1014" s="15"/>
      <c r="S1014" s="13"/>
      <c r="T1014" s="13"/>
      <c r="U1014" s="13"/>
      <c r="V1014" s="13"/>
      <c r="W1014" s="13"/>
      <c r="X1014" s="13"/>
      <c r="Y1014" s="13"/>
      <c r="Z1014" s="13"/>
      <c r="AA1014" s="13"/>
    </row>
    <row r="1015" spans="1:27" ht="15.75" customHeight="1" x14ac:dyDescent="0.25">
      <c r="G1015" s="13"/>
      <c r="H1015" s="13"/>
      <c r="I1015" s="13"/>
      <c r="J1015" s="13"/>
      <c r="K1015" s="13"/>
      <c r="L1015" s="13"/>
      <c r="M1015" s="13"/>
    </row>
    <row r="1016" spans="1:27" ht="15.75" customHeight="1" x14ac:dyDescent="0.25">
      <c r="G1016" s="13"/>
      <c r="H1016" s="13"/>
      <c r="I1016" s="13"/>
      <c r="J1016" s="13"/>
      <c r="K1016" s="13"/>
      <c r="L1016" s="13"/>
      <c r="M1016" s="13"/>
    </row>
    <row r="1017" spans="1:27" ht="15.75" customHeight="1" x14ac:dyDescent="0.25">
      <c r="G1017" s="13"/>
      <c r="H1017" s="13"/>
      <c r="I1017" s="13"/>
      <c r="J1017" s="13"/>
      <c r="K1017" s="13"/>
      <c r="L1017" s="13"/>
      <c r="M1017" s="13"/>
    </row>
  </sheetData>
  <mergeCells count="3">
    <mergeCell ref="G17:H17"/>
    <mergeCell ref="K17:L17"/>
    <mergeCell ref="E32:G3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Precificacao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Pimenta</dc:creator>
  <cp:lastModifiedBy>Jaime Pimenta</cp:lastModifiedBy>
  <dcterms:created xsi:type="dcterms:W3CDTF">2025-06-12T15:04:46Z</dcterms:created>
  <dcterms:modified xsi:type="dcterms:W3CDTF">2025-06-12T15:05:39Z</dcterms:modified>
</cp:coreProperties>
</file>